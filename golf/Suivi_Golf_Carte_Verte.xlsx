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Tableau de bord" sheetId="2" state="visible" r:id="rId4"/>
    <sheet name="Journal séances" sheetId="3" state="visible" r:id="rId5"/>
    <sheet name="Parcours" sheetId="4" state="visible" r:id="rId6"/>
    <sheet name="Checklist carte verte" sheetId="5" state="visible" r:id="rId7"/>
    <sheet name="Inde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Saisis le score total à réaliser sur 9 trous (ex. 54). Info à demander à ton coach du Golf de Lille.</t>
        </r>
      </text>
    </comment>
    <comment ref="C13" authorId="0">
      <text>
        <r>
          <rPr>
            <sz val="10"/>
            <rFont val="Arial"/>
            <family val="2"/>
          </rPr>
          <t xml:space="preserve">C = séances A, D = séances B, E = séances C</t>
        </r>
      </text>
    </comment>
  </commentList>
</comments>
</file>

<file path=xl/sharedStrings.xml><?xml version="1.0" encoding="utf-8"?>
<sst xmlns="http://schemas.openxmlformats.org/spreadsheetml/2006/main" count="157" uniqueCount="135">
  <si>
    <t xml:space="preserve">Suivi golf — Carte verte puis Index</t>
  </si>
  <si>
    <t xml:space="preserve">Comment utiliser ce fichier</t>
  </si>
  <si>
    <t xml:space="preserve">Cellule à remplir</t>
  </si>
  <si>
    <t xml:space="preserve">1. Tu ne remplis QUE les cellules sur fond JAUNE. Tout le reste se calcule tout seul.</t>
  </si>
  <si>
    <t xml:space="preserve">2. Après chaque séance (A, B, C, maison ou cours) : une ligne dans l'onglet « Journal séances ».</t>
  </si>
  <si>
    <t xml:space="preserve">3. Après chaque parcours (9 ou 18 trous, ou « parcours imaginaire ») : une ligne dans l'onglet « Parcours ».</t>
  </si>
  <si>
    <t xml:space="preserve">4. Coche les compétences acquises dans l'onglet « Checklist carte verte » (Oui / Non).</t>
  </si>
  <si>
    <t xml:space="preserve">5. Dès que tu as un index : une ligne dans l'onglet « Index » à chaque changement.</t>
  </si>
  <si>
    <t xml:space="preserve">6. Regarde l'onglet « Tableau de bord » : quand les 6 critères sont « OK », tu es prêt pour la carte verte.</t>
  </si>
  <si>
    <t xml:space="preserve">À saisir dès maintenant dans le Tableau de bord</t>
  </si>
  <si>
    <t xml:space="preserve">• Le score cible de l'examen carte verte (demande-le à ton coach : nombre de trous, score à réaliser).</t>
  </si>
  <si>
    <t xml:space="preserve">• Ta distance moyenne au fer 9 (mesurée au bloc 4 de la séance A).</t>
  </si>
  <si>
    <t xml:space="preserve">Les lignes marquées « EXEMPLE » montrent le format attendu : remplace-les par tes vraies données (ou efface-les).</t>
  </si>
  <si>
    <t xml:space="preserve">Les tests sont expliqués dans le PDF « Programme_Golf_Carte_Verte.pdf ».</t>
  </si>
  <si>
    <t xml:space="preserve">Légende des tests</t>
  </si>
  <si>
    <t xml:space="preserve">Test A (/20) : 20 balles au fer 9 avec routine ; réussie = contact propre + dans un couloir de 15 m.</t>
  </si>
  <si>
    <t xml:space="preserve">Putts 1,5 m (/10) : 10 putts à 1,5 m, positions différentes.</t>
  </si>
  <si>
    <t xml:space="preserve">Putts longs (/9) : 3 balles à 5, 10 et 15 m ; réussi = arrêt à moins de 1 m du trou.</t>
  </si>
  <si>
    <t xml:space="preserve">Up &amp; down (coups) : 9 balles autour du green, chip + putts jusqu'au trou ; total des coups (parfait = 18).</t>
  </si>
  <si>
    <t xml:space="preserve">Chip &lt; 2 m (/10) : sur une série de 10 chips, nombre de balles arrêtées à moins de 2 m du trou.</t>
  </si>
  <si>
    <t xml:space="preserve">Quiz règles (/15) : le quiz de la dernière page du PDF.</t>
  </si>
  <si>
    <t xml:space="preserve">Tableau de bord — Carte verte</t>
  </si>
  <si>
    <t xml:space="preserve">Cases jaunes = à saisir. Le reste se met à jour automatiquement.</t>
  </si>
  <si>
    <t xml:space="preserve">Mes infos</t>
  </si>
  <si>
    <t xml:space="preserve">Score cible de l'examen sur 9 trous (fer 9 + putter) — à demander au coach</t>
  </si>
  <si>
    <t xml:space="preserve">Début du programme (semaine 1)</t>
  </si>
  <si>
    <t xml:space="preserve">Date d'examen visée</t>
  </si>
  <si>
    <t xml:space="preserve">jours restants</t>
  </si>
  <si>
    <t xml:space="preserve">Ma distance moyenne au fer 9 (m)</t>
  </si>
  <si>
    <t xml:space="preserve">Activité</t>
  </si>
  <si>
    <t xml:space="preserve">Semaine du programme en cours</t>
  </si>
  <si>
    <t xml:space="preserve">Séances A/B/C faites cette semaine (objectif 2 à 3)</t>
  </si>
  <si>
    <t xml:space="preserve">Total séances A / B / C depuis le début</t>
  </si>
  <si>
    <t xml:space="preserve">Heures d'entraînement au total</t>
  </si>
  <si>
    <t xml:space="preserve">Parcours joués / meilleur score 9 trous fer 9 + putter</t>
  </si>
  <si>
    <t xml:space="preserve">Les 6 critères « prêt pour la carte verte »</t>
  </si>
  <si>
    <t xml:space="preserve">Critère</t>
  </si>
  <si>
    <t xml:space="preserve">Ma valeur</t>
  </si>
  <si>
    <t xml:space="preserve">Seuil</t>
  </si>
  <si>
    <t xml:space="preserve">Statut</t>
  </si>
  <si>
    <t xml:space="preserve">1. Test A — moyenne des 3 derniers (/20)</t>
  </si>
  <si>
    <t xml:space="preserve">2. Putts 1,5 m — moyenne des 3 derniers (/10)</t>
  </si>
  <si>
    <t xml:space="preserve">3. Up &amp; down 9 balles — moyenne des 3 derniers (coups)</t>
  </si>
  <si>
    <t xml:space="preserve">4. Simulations 9 trous fer 9 + putter — moyenne des 3 dernières</t>
  </si>
  <si>
    <t xml:space="preserve">5. Quiz règles — meilleur score (/15)</t>
  </si>
  <si>
    <t xml:space="preserve">6. Checklist étiquette, sécurité &amp; règles</t>
  </si>
  <si>
    <t xml:space="preserve">VERDICT</t>
  </si>
  <si>
    <t xml:space="preserve">Après la carte verte — objectif index</t>
  </si>
  <si>
    <t xml:space="preserve">Index actuel (dernier saisi dans l'onglet Index)</t>
  </si>
  <si>
    <t xml:space="preserve">Prochain palier visé</t>
  </si>
  <si>
    <t xml:space="preserve">Moyenne de putts sur 9 trous (3 dernières parties de 9 trous)</t>
  </si>
  <si>
    <t xml:space="preserve">Pénalités moyennes par partie</t>
  </si>
  <si>
    <t xml:space="preserve">Objectif putts : ≤ 18 sur 9 trous (2 par green). Objectif pénalités : 0. Ce sont les 2 leviers les plus rapides pour l'index.</t>
  </si>
  <si>
    <t xml:space="preserve">Journal des séances</t>
  </si>
  <si>
    <t xml:space="preserve">Une ligne par séance. Cases jaunes = à remplir. Laisse vide un test que tu n'as pas fait.</t>
  </si>
  <si>
    <t xml:space="preserve">Colonnes M-O : calcul automatique, ne pas toucher</t>
  </si>
  <si>
    <t xml:space="preserve">Date</t>
  </si>
  <si>
    <t xml:space="preserve">Semaine du programme</t>
  </si>
  <si>
    <t xml:space="preserve">Type de séance</t>
  </si>
  <si>
    <t xml:space="preserve">Durée (min)</t>
  </si>
  <si>
    <t xml:space="preserve">Test A (/20)</t>
  </si>
  <si>
    <t xml:space="preserve">Putts 1,5 m (/10)</t>
  </si>
  <si>
    <t xml:space="preserve">Putts longs (/9)</t>
  </si>
  <si>
    <t xml:space="preserve">Up &amp; down (coups, 9 balles)</t>
  </si>
  <si>
    <t xml:space="preserve">Chip &lt; 2 m (/10)</t>
  </si>
  <si>
    <t xml:space="preserve">Quiz règles (/15)</t>
  </si>
  <si>
    <t xml:space="preserve">Ressenti (1 à 5)</t>
  </si>
  <si>
    <t xml:space="preserve">Ce qui a marché / à travailler</t>
  </si>
  <si>
    <t xml:space="preserve">n°TestA</t>
  </si>
  <si>
    <t xml:space="preserve">n°Putts</t>
  </si>
  <si>
    <t xml:space="preserve">n°UpDown</t>
  </si>
  <si>
    <t xml:space="preserve">A</t>
  </si>
  <si>
    <t xml:space="preserve">EXEMPLE – à remplacer : contact OK en demi-swing, je gratte en plein swing (poids sur pied arrière)</t>
  </si>
  <si>
    <t xml:space="preserve">B</t>
  </si>
  <si>
    <t xml:space="preserve">EXEMPLE – à remplacer : putts 1 m OK, trop court sur les putts de 15 m</t>
  </si>
  <si>
    <t xml:space="preserve">Parcours joués</t>
  </si>
  <si>
    <t xml:space="preserve">Une ligne par partie (9 ou 18 trous, ou parcours imaginaire). « +/- par » se calcule seul.</t>
  </si>
  <si>
    <t xml:space="preserve">Colonne N : calcul auto</t>
  </si>
  <si>
    <t xml:space="preserve">Parcours / lieu</t>
  </si>
  <si>
    <t xml:space="preserve">Clubs utilisés</t>
  </si>
  <si>
    <t xml:space="preserve">Trous (9/18)</t>
  </si>
  <si>
    <t xml:space="preserve">Par</t>
  </si>
  <si>
    <t xml:space="preserve">Score</t>
  </si>
  <si>
    <t xml:space="preserve">+/- par</t>
  </si>
  <si>
    <t xml:space="preserve">Putts</t>
  </si>
  <si>
    <t xml:space="preserve">Pénalités</t>
  </si>
  <si>
    <t xml:space="preserve">Balles perdues</t>
  </si>
  <si>
    <t xml:space="preserve">Fairways touchés</t>
  </si>
  <si>
    <t xml:space="preserve">Carte officielle (index) ?</t>
  </si>
  <si>
    <t xml:space="preserve">Trou le plus coûteux &amp; pourquoi</t>
  </si>
  <si>
    <t xml:space="preserve">n°Simu</t>
  </si>
  <si>
    <t xml:space="preserve">Golf de Lille – 9 trous</t>
  </si>
  <si>
    <t xml:space="preserve">Fer 9 + putter</t>
  </si>
  <si>
    <t xml:space="preserve">Non</t>
  </si>
  <si>
    <t xml:space="preserve">EXEMPLE – à remplacer : trou 4, 2 balles dans l'eau en voulant passer l'obstacle</t>
  </si>
  <si>
    <t xml:space="preserve">Checklist carte verte</t>
  </si>
  <si>
    <t xml:space="preserve">Mets « Oui » quand tu le fais SANS y penser sur 3 parcours d'affilée.</t>
  </si>
  <si>
    <t xml:space="preserve">Catégorie</t>
  </si>
  <si>
    <t xml:space="preserve">Compétence</t>
  </si>
  <si>
    <t xml:space="preserve">Acquis ?</t>
  </si>
  <si>
    <t xml:space="preserve">Sécurité</t>
  </si>
  <si>
    <t xml:space="preserve">Je vérifie que personne n'est à portée avant chaque coup (devant ET autour de moi)</t>
  </si>
  <si>
    <t xml:space="preserve">Je crie « Balle ! » immédiatement si ma balle part vers quelqu'un</t>
  </si>
  <si>
    <t xml:space="preserve">Je me place toujours hors de la zone de swing des autres joueurs</t>
  </si>
  <si>
    <t xml:space="preserve">Étiquette</t>
  </si>
  <si>
    <t xml:space="preserve">Je relève mes impacts de balle sur le green</t>
  </si>
  <si>
    <t xml:space="preserve">Je ratisse le bunker après mon passage</t>
  </si>
  <si>
    <t xml:space="preserve">Je replace / rebouche mes divots</t>
  </si>
  <si>
    <t xml:space="preserve">Je ne marche pas sur la ligne de putt des autres</t>
  </si>
  <si>
    <t xml:space="preserve">Chariot et sac jamais sur les départs ni les greens</t>
  </si>
  <si>
    <t xml:space="preserve">Silence et immobilité quand un joueur joue</t>
  </si>
  <si>
    <t xml:space="preserve">Rythme</t>
  </si>
  <si>
    <t xml:space="preserve">Je suis prêt quand c'est mon tour (club choisi, gant mis)</t>
  </si>
  <si>
    <t xml:space="preserve">Je note les scores au départ suivant, pas sur le green</t>
  </si>
  <si>
    <t xml:space="preserve">Je sais quand et comment laisser passer le groupe derrière</t>
  </si>
  <si>
    <t xml:space="preserve">Règles</t>
  </si>
  <si>
    <t xml:space="preserve">Ordre de jeu (honneur au départ, le plus loin joue en premier)</t>
  </si>
  <si>
    <t xml:space="preserve">Zone de départ : entre les marques, max 2 longueurs de club en arrière</t>
  </si>
  <si>
    <t xml:space="preserve">Balle perdue / hors limites : coup et distance + 1 coup ; balle provisoire</t>
  </si>
  <si>
    <t xml:space="preserve">Zones à pénalité jaune et rouge : les options de dégagement</t>
  </si>
  <si>
    <t xml:space="preserve">Balle injouable : les 3 options</t>
  </si>
  <si>
    <t xml:space="preserve">Dégagement gratuit (chemin, terrain en réparation) et drop à hauteur du genou</t>
  </si>
  <si>
    <t xml:space="preserve">Marquer, relever, nettoyer et replacer sa balle sur le green</t>
  </si>
  <si>
    <t xml:space="preserve">Remplir et signer une carte de score correctement</t>
  </si>
  <si>
    <t xml:space="preserve">Jeu</t>
  </si>
  <si>
    <t xml:space="preserve">Je fais ma routine pré-coup à chaque coup sur le parcours</t>
  </si>
  <si>
    <t xml:space="preserve">Je joue la sécurité (centre du green, je contourne l'eau) quand je ne suis pas sûr à 80 %</t>
  </si>
  <si>
    <t xml:space="preserve">Je connais ma distance au fer 9</t>
  </si>
  <si>
    <t xml:space="preserve">Je joue 9 trous fer 9 + putter sans perdre de balle</t>
  </si>
  <si>
    <t xml:space="preserve">Progression de la checklist</t>
  </si>
  <si>
    <t xml:space="preserve">Évolution de l'index</t>
  </si>
  <si>
    <t xml:space="preserve">Une ligne à chaque fois que ton index change (consultable sur l'appli / le site de la FFGolf).</t>
  </si>
  <si>
    <t xml:space="preserve">Index</t>
  </si>
  <si>
    <t xml:space="preserve">Commentaire</t>
  </si>
  <si>
    <t xml:space="preserve">Note : un index « plus » de pro (ex. +4) se saisit -4.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</si>
</sst>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General"/>
    <numFmt numFmtId="167" formatCode="0.0"/>
    <numFmt numFmtId="168" formatCode="&quot;≥ &quot;0"/>
    <numFmt numFmtId="169" formatCode="&quot;≤ &quot;0"/>
    <numFmt numFmtId="170" formatCode="0%"/>
    <numFmt numFmtId="171" formatCode="&quot;≥ &quot;0%"/>
    <numFmt numFmtId="172" formatCode="0"/>
    <numFmt numFmtId="173" formatCode="\+0;\-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5E3B"/>
      <name val="Arial"/>
      <family val="0"/>
      <charset val="1"/>
    </font>
    <font>
      <b val="true"/>
      <sz val="11"/>
      <color rgb="FF1F5E3B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5E3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999999"/>
      <name val="Arial"/>
      <family val="0"/>
      <charset val="1"/>
    </font>
    <font>
      <sz val="8"/>
      <color rgb="FF99999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FEB9C"/>
      </patternFill>
    </fill>
    <fill>
      <patternFill patternType="solid">
        <fgColor rgb="FF1F5E3B"/>
        <bgColor rgb="FF0061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9BF"/>
      </left>
      <right style="thin">
        <color rgb="FFB9C9BF"/>
      </right>
      <top style="thin">
        <color rgb="FFB9C9BF"/>
      </top>
      <bottom style="thin">
        <color rgb="FFB9C9BF"/>
      </bottom>
      <diagonal/>
    </border>
    <border diagonalUp="false" diagonalDown="false">
      <left style="thin">
        <color rgb="FFB9C9BF"/>
      </left>
      <right/>
      <top style="thin">
        <color rgb="FFB9C9BF"/>
      </top>
      <bottom style="thin">
        <color rgb="FFB9C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9C9BF"/>
      <rgbColor rgb="FF878787"/>
      <rgbColor rgb="FF9999FF"/>
      <rgbColor rgb="FF993366"/>
      <rgbColor rgb="FFFFF2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C5700"/>
      <rgbColor rgb="FF993366"/>
      <rgbColor rgb="FF333399"/>
      <rgbColor rgb="FF1F5E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par partie (+/- par)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Parcours!G4</c:f>
              <c:strCache>
                <c:ptCount val="1"/>
                <c:pt idx="0">
                  <c:v>+/- par</c:v>
                </c:pt>
              </c:strCache>
            </c:strRef>
          </c:tx>
          <c:spPr>
            <a:solidFill>
              <a:srgbClr val="1f5e3b"/>
            </a:solidFill>
            <a:ln w="25560">
              <a:solidFill>
                <a:srgbClr val="1f5e3b"/>
              </a:solidFill>
              <a:round/>
            </a:ln>
          </c:spPr>
          <c:marker>
            <c:symbol val="circle"/>
            <c:size val="7"/>
            <c:spPr>
              <a:solidFill>
                <a:srgbClr val="1f5e3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Parcours!$A$5:$A$64</c:f>
              <c:strCache>
                <c:ptCount val="60"/>
                <c:pt idx="0">
                  <c:v>18/10/2026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</c:strCache>
            </c:strRef>
          </c:cat>
          <c:val>
            <c:numRef>
              <c:f>Parcours!$G$5:$G$64</c:f>
              <c:numCache>
                <c:formatCode>\+0;\-0;0</c:formatCode>
                <c:ptCount val="60"/>
                <c:pt idx="0">
                  <c:v>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7610970"/>
        <c:axId val="916931"/>
      </c:lineChart>
      <c:catAx>
        <c:axId val="2761097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931"/>
        <c:crosses val="autoZero"/>
        <c:auto val="1"/>
        <c:lblAlgn val="ctr"/>
        <c:lblOffset val="100"/>
        <c:noMultiLvlLbl val="0"/>
      </c:catAx>
      <c:valAx>
        <c:axId val="916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Coups au-dessus du par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10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A (/20) — séances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'Journal séances'!E4</c:f>
              <c:strCache>
                <c:ptCount val="1"/>
                <c:pt idx="0">
                  <c:v>Test A (/20)</c:v>
                </c:pt>
              </c:strCache>
            </c:strRef>
          </c:tx>
          <c:spPr>
            <a:solidFill>
              <a:srgbClr val="1f5e3b"/>
            </a:solidFill>
            <a:ln w="25560">
              <a:solidFill>
                <a:srgbClr val="1f5e3b"/>
              </a:solidFill>
              <a:round/>
            </a:ln>
          </c:spPr>
          <c:marker>
            <c:symbol val="circle"/>
            <c:size val="7"/>
            <c:spPr>
              <a:solidFill>
                <a:srgbClr val="1f5e3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'Journal séances'!$A$5:$A$104</c:f>
              <c:strCache>
                <c:ptCount val="100"/>
                <c:pt idx="0">
                  <c:v>13/10/2026</c:v>
                </c:pt>
                <c:pt idx="1">
                  <c:v>15/10/2026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'Journal séances'!$E$5:$E$104</c:f>
              <c:numCache>
                <c:formatCode>General</c:formatCode>
                <c:ptCount val="100"/>
                <c:pt idx="0">
                  <c:v>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5812890"/>
        <c:axId val="19468394"/>
      </c:lineChart>
      <c:catAx>
        <c:axId val="5581289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68394"/>
        <c:crosses val="autoZero"/>
        <c:auto val="1"/>
        <c:lblAlgn val="ctr"/>
        <c:lblOffset val="100"/>
        <c:noMultiLvlLbl val="0"/>
      </c:catAx>
      <c:valAx>
        <c:axId val="19468394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2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Index!B4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1f5e3b"/>
            </a:solidFill>
            <a:ln w="25560">
              <a:solidFill>
                <a:srgbClr val="1f5e3b"/>
              </a:solidFill>
              <a:round/>
            </a:ln>
          </c:spPr>
          <c:marker>
            <c:symbol val="circle"/>
            <c:size val="7"/>
            <c:spPr>
              <a:solidFill>
                <a:srgbClr val="1f5e3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Index!$A$5:$A$104</c:f>
              <c:strCache>
                <c:ptCount val="10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Index!$B$5:$B$104</c:f>
              <c:numCache>
                <c:formatCode>General</c:formatCode>
                <c:ptCount val="1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251698"/>
        <c:axId val="72623443"/>
      </c:lineChart>
      <c:catAx>
        <c:axId val="382516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23443"/>
        <c:crosses val="autoZero"/>
        <c:auto val="1"/>
        <c:lblAlgn val="ctr"/>
        <c:lblOffset val="100"/>
        <c:noMultiLvlLbl val="0"/>
      </c:catAx>
      <c:valAx>
        <c:axId val="72623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1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16</xdr:col>
      <xdr:colOff>4680</xdr:colOff>
      <xdr:row>17</xdr:row>
      <xdr:rowOff>167760</xdr:rowOff>
    </xdr:to>
    <xdr:graphicFrame>
      <xdr:nvGraphicFramePr>
        <xdr:cNvPr id="0" name="Chart 1"/>
        <xdr:cNvGraphicFramePr/>
      </xdr:nvGraphicFramePr>
      <xdr:xfrm>
        <a:off x="829440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145440</xdr:rowOff>
    </xdr:from>
    <xdr:to>
      <xdr:col>16</xdr:col>
      <xdr:colOff>4680</xdr:colOff>
      <xdr:row>34</xdr:row>
      <xdr:rowOff>34200</xdr:rowOff>
    </xdr:to>
    <xdr:graphicFrame>
      <xdr:nvGraphicFramePr>
        <xdr:cNvPr id="1" name="Chart 2"/>
        <xdr:cNvGraphicFramePr/>
      </xdr:nvGraphicFramePr>
      <xdr:xfrm>
        <a:off x="829440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145440</xdr:rowOff>
    </xdr:from>
    <xdr:to>
      <xdr:col>14</xdr:col>
      <xdr:colOff>364680</xdr:colOff>
      <xdr:row>19</xdr:row>
      <xdr:rowOff>167760</xdr:rowOff>
    </xdr:to>
    <xdr:graphicFrame>
      <xdr:nvGraphicFramePr>
        <xdr:cNvPr id="2" name="Chart 1"/>
        <xdr:cNvGraphicFramePr/>
      </xdr:nvGraphicFramePr>
      <xdr:xfrm>
        <a:off x="6391440" y="11620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3" min="3" style="0" width="2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4" t="s">
        <v>4</v>
      </c>
    </row>
    <row r="6" customFormat="false" ht="15" hidden="false" customHeight="false" outlineLevel="0" collapsed="false">
      <c r="A6" s="4" t="s">
        <v>5</v>
      </c>
    </row>
    <row r="7" customFormat="false" ht="15" hidden="false" customHeight="false" outlineLevel="0" collapsed="false">
      <c r="A7" s="4" t="s">
        <v>6</v>
      </c>
    </row>
    <row r="8" customFormat="false" ht="15" hidden="false" customHeight="false" outlineLevel="0" collapsed="false">
      <c r="A8" s="4" t="s">
        <v>7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22"/>
  </cols>
  <sheetData>
    <row r="1" customFormat="false" ht="18.55" hidden="false" customHeight="false" outlineLevel="0" collapsed="false">
      <c r="A1" s="1" t="s">
        <v>21</v>
      </c>
    </row>
    <row r="2" customFormat="false" ht="15" hidden="false" customHeight="false" outlineLevel="0" collapsed="false">
      <c r="A2" s="5" t="s">
        <v>22</v>
      </c>
    </row>
    <row r="4" customFormat="false" ht="15" hidden="false" customHeight="false" outlineLevel="0" collapsed="false">
      <c r="B4" s="6" t="s">
        <v>23</v>
      </c>
    </row>
    <row r="5" customFormat="false" ht="15" hidden="false" customHeight="false" outlineLevel="0" collapsed="false">
      <c r="B5" s="7" t="s">
        <v>24</v>
      </c>
      <c r="C5" s="8"/>
    </row>
    <row r="6" customFormat="false" ht="15" hidden="false" customHeight="false" outlineLevel="0" collapsed="false">
      <c r="B6" s="7" t="s">
        <v>25</v>
      </c>
      <c r="C6" s="9" t="n">
        <v>46307</v>
      </c>
    </row>
    <row r="7" customFormat="false" ht="15" hidden="false" customHeight="false" outlineLevel="0" collapsed="false">
      <c r="B7" s="7" t="s">
        <v>26</v>
      </c>
      <c r="C7" s="9" t="n">
        <v>46354</v>
      </c>
      <c r="D7" s="10" t="n">
        <f aca="true">IF(C7="","",C7-TODAY())</f>
        <v>48</v>
      </c>
      <c r="E7" s="11" t="s">
        <v>27</v>
      </c>
    </row>
    <row r="8" customFormat="false" ht="15" hidden="false" customHeight="false" outlineLevel="0" collapsed="false">
      <c r="B8" s="7" t="s">
        <v>28</v>
      </c>
      <c r="C8" s="8"/>
    </row>
    <row r="10" customFormat="false" ht="15" hidden="false" customHeight="false" outlineLevel="0" collapsed="false">
      <c r="B10" s="6" t="s">
        <v>29</v>
      </c>
    </row>
    <row r="11" customFormat="false" ht="15" hidden="false" customHeight="false" outlineLevel="0" collapsed="false">
      <c r="B11" s="7" t="s">
        <v>30</v>
      </c>
      <c r="C11" s="12" t="n">
        <f aca="true">MAX(1,INT((TODAY()-C6)/7)+1)</f>
        <v>1</v>
      </c>
      <c r="D11" s="13"/>
      <c r="E11" s="13"/>
    </row>
    <row r="12" customFormat="false" ht="15" hidden="false" customHeight="false" outlineLevel="0" collapsed="false">
      <c r="B12" s="7" t="s">
        <v>31</v>
      </c>
      <c r="C12" s="12" t="n">
        <f aca="false">COUNTIFS('Journal séances'!$B$5:$B$304,C11,'Journal séances'!$C$5:$C$304,"A")+COUNTIFS('Journal séances'!$B$5:$B$304,C11,'Journal séances'!$C$5:$C$304,"B")+COUNTIFS('Journal séances'!$B$5:$B$304,C11,'Journal séances'!$C$5:$C$304,"C")</f>
        <v>2</v>
      </c>
      <c r="D12" s="13"/>
      <c r="E12" s="13"/>
    </row>
    <row r="13" customFormat="false" ht="15" hidden="false" customHeight="false" outlineLevel="0" collapsed="false">
      <c r="B13" s="7" t="s">
        <v>32</v>
      </c>
      <c r="C13" s="12" t="n">
        <f aca="false">COUNTIF('Journal séances'!$C$5:$C$304,"A")</f>
        <v>1</v>
      </c>
      <c r="D13" s="12" t="n">
        <f aca="false">COUNTIF('Journal séances'!$C$5:$C$304,"B")</f>
        <v>1</v>
      </c>
      <c r="E13" s="12" t="n">
        <f aca="false">COUNTIF('Journal séances'!$C$5:$C$304,"C")</f>
        <v>0</v>
      </c>
    </row>
    <row r="14" customFormat="false" ht="15" hidden="false" customHeight="false" outlineLevel="0" collapsed="false">
      <c r="B14" s="7" t="s">
        <v>33</v>
      </c>
      <c r="C14" s="14" t="n">
        <f aca="false">SUM('Journal séances'!$D$5:$D$304)/60</f>
        <v>3</v>
      </c>
      <c r="D14" s="13"/>
      <c r="E14" s="13"/>
    </row>
    <row r="15" customFormat="false" ht="15" hidden="false" customHeight="false" outlineLevel="0" collapsed="false">
      <c r="B15" s="7" t="s">
        <v>34</v>
      </c>
      <c r="C15" s="12" t="n">
        <f aca="false">COUNT(Parcours!$F$5:$F$304)</f>
        <v>1</v>
      </c>
      <c r="D15" s="12" t="n">
        <f aca="false">IFERROR(IF(COUNT(Parcours!$N$5:$N$304)=0,"—",_xlfn.MINIFS(Parcours!$F$5:$F$304,Parcours!$N$5:$N$304,"&gt;0")),"—")</f>
        <v>58</v>
      </c>
      <c r="E15" s="13"/>
    </row>
    <row r="17" customFormat="false" ht="15" hidden="false" customHeight="false" outlineLevel="0" collapsed="false">
      <c r="B17" s="6" t="s">
        <v>35</v>
      </c>
    </row>
    <row r="18" customFormat="false" ht="15" hidden="false" customHeight="false" outlineLevel="0" collapsed="false">
      <c r="B18" s="15" t="s">
        <v>36</v>
      </c>
      <c r="C18" s="15" t="s">
        <v>37</v>
      </c>
      <c r="D18" s="15" t="s">
        <v>38</v>
      </c>
      <c r="E18" s="15" t="s">
        <v>39</v>
      </c>
    </row>
    <row r="19" customFormat="false" ht="15" hidden="false" customHeight="false" outlineLevel="0" collapsed="false">
      <c r="B19" s="7" t="s">
        <v>40</v>
      </c>
      <c r="C19" s="16" t="n">
        <f aca="false">IF(COUNT('Journal séances'!$E$5:$E$304)=0,"—",AVERAGEIFS('Journal séances'!$E$5:$E$304,'Journal séances'!$M$5:$M$304,"&gt;"&amp;(COUNT('Journal séances'!$E$5:$E$304)-3)))</f>
        <v>9</v>
      </c>
      <c r="D19" s="17" t="n">
        <v>12</v>
      </c>
      <c r="E19" s="18" t="str">
        <f aca="false">IF(C19="—","Pas encore de donnée",IF(C19&gt;=D19,"OK","En cours"))</f>
        <v>En cours</v>
      </c>
    </row>
    <row r="20" customFormat="false" ht="15" hidden="false" customHeight="false" outlineLevel="0" collapsed="false">
      <c r="B20" s="7" t="s">
        <v>41</v>
      </c>
      <c r="C20" s="16" t="n">
        <f aca="false">IF(COUNT('Journal séances'!$F$5:$F$304)=0,"—",AVERAGEIFS('Journal séances'!$F$5:$F$304,'Journal séances'!$N$5:$N$304,"&gt;"&amp;(COUNT('Journal séances'!$F$5:$F$304)-3)))</f>
        <v>6</v>
      </c>
      <c r="D20" s="17" t="n">
        <v>7</v>
      </c>
      <c r="E20" s="18" t="str">
        <f aca="false">IF(C20="—","Pas encore de donnée",IF(C20&gt;=D20,"OK","En cours"))</f>
        <v>En cours</v>
      </c>
    </row>
    <row r="21" customFormat="false" ht="15" hidden="false" customHeight="false" outlineLevel="0" collapsed="false">
      <c r="B21" s="7" t="s">
        <v>42</v>
      </c>
      <c r="C21" s="16" t="n">
        <f aca="false">IF(COUNT('Journal séances'!$H$5:$H$304)=0,"—",AVERAGEIFS('Journal séances'!$H$5:$H$304,'Journal séances'!$O$5:$O$304,"&gt;"&amp;(COUNT('Journal séances'!$H$5:$H$304)-3)))</f>
        <v>26</v>
      </c>
      <c r="D21" s="19" t="n">
        <v>24</v>
      </c>
      <c r="E21" s="18" t="str">
        <f aca="false">IF(C21="—","Pas encore de donnée",IF(C21&lt;=D21,"OK","En cours"))</f>
        <v>En cours</v>
      </c>
    </row>
    <row r="22" customFormat="false" ht="15" hidden="false" customHeight="false" outlineLevel="0" collapsed="false">
      <c r="B22" s="7" t="s">
        <v>43</v>
      </c>
      <c r="C22" s="16" t="n">
        <f aca="false">IF(COUNT(Parcours!$N$5:$N$304)=0,"—",AVERAGEIFS(Parcours!$F$5:$F$304,Parcours!$N$5:$N$304,"&gt;"&amp;(MAX(Parcours!$N$5:$N$304)-3)))</f>
        <v>58</v>
      </c>
      <c r="D22" s="19" t="str">
        <f aca="false">IF(C5="","",C5)</f>
        <v/>
      </c>
      <c r="E22" s="18" t="str">
        <f aca="false">IF($C$5="","Saisir la cible (C5)",IF(C22="—","Pas encore de donnée",IF(C22&lt;=D22,"OK","En cours")))</f>
        <v>Saisir la cible (C5)</v>
      </c>
    </row>
    <row r="23" customFormat="false" ht="15" hidden="false" customHeight="false" outlineLevel="0" collapsed="false">
      <c r="B23" s="7" t="s">
        <v>44</v>
      </c>
      <c r="C23" s="16" t="n">
        <f aca="false">IF(COUNT('Journal séances'!$J$5:$J$304)=0,"—",MAX('Journal séances'!$J$5:$J$304))</f>
        <v>10</v>
      </c>
      <c r="D23" s="17" t="n">
        <v>14</v>
      </c>
      <c r="E23" s="18" t="str">
        <f aca="false">IF(C23="—","Pas encore de donnée",IF(C23&gt;=D23,"OK","En cours"))</f>
        <v>En cours</v>
      </c>
    </row>
    <row r="24" customFormat="false" ht="15" hidden="false" customHeight="false" outlineLevel="0" collapsed="false">
      <c r="B24" s="7" t="s">
        <v>45</v>
      </c>
      <c r="C24" s="20" t="n">
        <f aca="false">'Checklist carte verte'!C30</f>
        <v>0</v>
      </c>
      <c r="D24" s="21" t="n">
        <v>1</v>
      </c>
      <c r="E24" s="18" t="str">
        <f aca="false">IF(C24="—","Pas encore de donnée",IF(C24&gt;=D24,"OK","En cours"))</f>
        <v>En cours</v>
      </c>
    </row>
    <row r="26" customFormat="false" ht="25.5" hidden="false" customHeight="true" outlineLevel="0" collapsed="false">
      <c r="B26" s="22" t="s">
        <v>46</v>
      </c>
      <c r="C26" s="23" t="str">
        <f aca="false">IF(COUNTIF(E19:E24,"OK")=6,"PRÊT pour la carte verte — inscris-toi !",COUNTIF(E19:E24,"OK")&amp;" / 6 critères OK — continue")</f>
        <v>0 / 6 critères OK — continue</v>
      </c>
      <c r="D26" s="23"/>
      <c r="E26" s="23"/>
    </row>
    <row r="28" customFormat="false" ht="15" hidden="false" customHeight="false" outlineLevel="0" collapsed="false">
      <c r="B28" s="6" t="s">
        <v>47</v>
      </c>
    </row>
    <row r="29" customFormat="false" ht="15" hidden="false" customHeight="false" outlineLevel="0" collapsed="false">
      <c r="B29" s="7" t="s">
        <v>48</v>
      </c>
      <c r="C29" s="14" t="str">
        <f aca="false">IFERROR(LOOKUP(2,1/(Index!$B$5:$B$104&lt;&gt;""),Index!$B$5:$B$104),"—")</f>
        <v>—</v>
      </c>
    </row>
    <row r="30" customFormat="false" ht="15" hidden="false" customHeight="false" outlineLevel="0" collapsed="false">
      <c r="B30" s="7" t="s">
        <v>49</v>
      </c>
      <c r="C30" s="24" t="str">
        <f aca="false">IF(C29="—","Carte verte",IF(C29&gt;36,36,IF(C29&gt;25,25,IF(C29&gt;15,15,IF(C29&gt;10,10,0)))))</f>
        <v>Carte verte</v>
      </c>
    </row>
    <row r="31" customFormat="false" ht="15" hidden="false" customHeight="false" outlineLevel="0" collapsed="false">
      <c r="B31" s="7" t="s">
        <v>50</v>
      </c>
      <c r="C31" s="14" t="n">
        <f aca="false">IFERROR(SUMPRODUCT((Parcours!$D$5:$D$304=9)*(Parcours!$H$5:$H$304&lt;&gt;"")*(ROW(Parcours!$H$5:$H$304)&gt;=LARGE((Parcours!$D$5:$D$304=9)*(Parcours!$H$5:$H$304&lt;&gt;"")*ROW(Parcours!$H$5:$H$304),3))*Parcours!$H$5:$H$304)/MIN(3,SUMPRODUCT((Parcours!$D$5:$D$304=9)*(Parcours!$H$5:$H$304&lt;&gt;""))),"—")</f>
        <v>21</v>
      </c>
    </row>
    <row r="32" customFormat="false" ht="15" hidden="false" customHeight="false" outlineLevel="0" collapsed="false">
      <c r="B32" s="7" t="s">
        <v>51</v>
      </c>
      <c r="C32" s="14" t="n">
        <f aca="false">IFERROR(AVERAGE(Parcours!$I$5:$I$304),"—")</f>
        <v>2</v>
      </c>
    </row>
    <row r="34" customFormat="false" ht="15" hidden="false" customHeight="false" outlineLevel="0" collapsed="false">
      <c r="B34" s="5" t="s">
        <v>52</v>
      </c>
    </row>
  </sheetData>
  <mergeCells count="1">
    <mergeCell ref="C26:E26"/>
  </mergeCells>
  <conditionalFormatting sqref="E19:E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"En cours"</formula>
    </cfRule>
  </conditionalFormatting>
  <conditionalFormatting sqref="C26">
    <cfRule type="expression" priority="4" aboveAverage="0" equalAverage="0" bottom="0" percent="0" rank="0" text="" dxfId="2">
      <formula>COUNTIF($E$19:$E$24,"OK")=6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5" min="13" style="0" width="8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5" t="s">
        <v>54</v>
      </c>
    </row>
    <row r="3" customFormat="false" ht="15" hidden="false" customHeight="false" outlineLevel="0" collapsed="false">
      <c r="M3" s="25" t="s">
        <v>55</v>
      </c>
    </row>
    <row r="4" customFormat="false" ht="31.5" hidden="false" customHeight="true" outlineLevel="0" collapsed="false">
      <c r="A4" s="15" t="s">
        <v>56</v>
      </c>
      <c r="B4" s="15" t="s">
        <v>57</v>
      </c>
      <c r="C4" s="15" t="s">
        <v>58</v>
      </c>
      <c r="D4" s="15" t="s">
        <v>59</v>
      </c>
      <c r="E4" s="15" t="s">
        <v>60</v>
      </c>
      <c r="F4" s="15" t="s">
        <v>61</v>
      </c>
      <c r="G4" s="15" t="s">
        <v>62</v>
      </c>
      <c r="H4" s="15" t="s">
        <v>63</v>
      </c>
      <c r="I4" s="15" t="s">
        <v>64</v>
      </c>
      <c r="J4" s="15" t="s">
        <v>65</v>
      </c>
      <c r="K4" s="15" t="s">
        <v>66</v>
      </c>
      <c r="L4" s="15" t="s">
        <v>67</v>
      </c>
      <c r="M4" s="15" t="s">
        <v>68</v>
      </c>
      <c r="N4" s="15" t="s">
        <v>69</v>
      </c>
      <c r="O4" s="15" t="s">
        <v>70</v>
      </c>
    </row>
    <row r="5" customFormat="false" ht="23.85" hidden="false" customHeight="false" outlineLevel="0" collapsed="false">
      <c r="A5" s="26" t="n">
        <v>46308</v>
      </c>
      <c r="B5" s="7" t="n">
        <f aca="false">IF(A5="","",INT((A5-'Tableau de bord'!$C$6)/7)+1)</f>
        <v>1</v>
      </c>
      <c r="C5" s="3" t="s">
        <v>71</v>
      </c>
      <c r="D5" s="3" t="n">
        <v>90</v>
      </c>
      <c r="E5" s="3" t="n">
        <v>9</v>
      </c>
      <c r="F5" s="3"/>
      <c r="G5" s="3"/>
      <c r="H5" s="3"/>
      <c r="I5" s="3"/>
      <c r="J5" s="3"/>
      <c r="K5" s="3" t="n">
        <v>3</v>
      </c>
      <c r="L5" s="27" t="s">
        <v>72</v>
      </c>
      <c r="M5" s="28" t="n">
        <f aca="false">IF(E5="","",COUNT($E$5:E5))</f>
        <v>1</v>
      </c>
      <c r="N5" s="28" t="str">
        <f aca="false">IF(F5="","",COUNT($F$5:F5))</f>
        <v/>
      </c>
      <c r="O5" s="28" t="str">
        <f aca="false">IF(H5="","",COUNT($H$5:H5))</f>
        <v/>
      </c>
    </row>
    <row r="6" customFormat="false" ht="23.85" hidden="false" customHeight="false" outlineLevel="0" collapsed="false">
      <c r="A6" s="26" t="n">
        <v>46310</v>
      </c>
      <c r="B6" s="7" t="n">
        <f aca="false">IF(A6="","",INT((A6-'Tableau de bord'!$C$6)/7)+1)</f>
        <v>1</v>
      </c>
      <c r="C6" s="3" t="s">
        <v>73</v>
      </c>
      <c r="D6" s="3" t="n">
        <v>90</v>
      </c>
      <c r="E6" s="3"/>
      <c r="F6" s="3" t="n">
        <v>6</v>
      </c>
      <c r="G6" s="3" t="n">
        <v>4</v>
      </c>
      <c r="H6" s="3" t="n">
        <v>26</v>
      </c>
      <c r="I6" s="3" t="n">
        <v>5</v>
      </c>
      <c r="J6" s="3" t="n">
        <v>10</v>
      </c>
      <c r="K6" s="3" t="n">
        <v>4</v>
      </c>
      <c r="L6" s="27" t="s">
        <v>74</v>
      </c>
      <c r="M6" s="28" t="str">
        <f aca="false">IF(E6="","",COUNT($E$5:E6))</f>
        <v/>
      </c>
      <c r="N6" s="28" t="n">
        <f aca="false">IF(F6="","",COUNT($F$5:F6))</f>
        <v>1</v>
      </c>
      <c r="O6" s="28" t="n">
        <f aca="false">IF(H6="","",COUNT($H$5:H6))</f>
        <v>1</v>
      </c>
    </row>
    <row r="7" customFormat="false" ht="15" hidden="false" customHeight="false" outlineLevel="0" collapsed="false">
      <c r="A7" s="26"/>
      <c r="B7" s="7" t="str">
        <f aca="false">IF(A7="","",INT((A7-'Tableau de bord'!$C$6)/7)+1)</f>
        <v/>
      </c>
      <c r="C7" s="3"/>
      <c r="D7" s="3"/>
      <c r="E7" s="3"/>
      <c r="F7" s="3"/>
      <c r="G7" s="3"/>
      <c r="H7" s="3"/>
      <c r="I7" s="3"/>
      <c r="J7" s="3"/>
      <c r="K7" s="3"/>
      <c r="L7" s="27"/>
      <c r="M7" s="28" t="str">
        <f aca="false">IF(E7="","",COUNT($E$5:E7))</f>
        <v/>
      </c>
      <c r="N7" s="28" t="str">
        <f aca="false">IF(F7="","",COUNT($F$5:F7))</f>
        <v/>
      </c>
      <c r="O7" s="28" t="str">
        <f aca="false">IF(H7="","",COUNT($H$5:H7))</f>
        <v/>
      </c>
    </row>
    <row r="8" customFormat="false" ht="15" hidden="false" customHeight="false" outlineLevel="0" collapsed="false">
      <c r="A8" s="26"/>
      <c r="B8" s="7" t="str">
        <f aca="false">IF(A8="","",INT((A8-'Tableau de bord'!$C$6)/7)+1)</f>
        <v/>
      </c>
      <c r="C8" s="3"/>
      <c r="D8" s="3"/>
      <c r="E8" s="3"/>
      <c r="F8" s="3"/>
      <c r="G8" s="3"/>
      <c r="H8" s="3"/>
      <c r="I8" s="3"/>
      <c r="J8" s="3"/>
      <c r="K8" s="3"/>
      <c r="L8" s="27"/>
      <c r="M8" s="28" t="str">
        <f aca="false">IF(E8="","",COUNT($E$5:E8))</f>
        <v/>
      </c>
      <c r="N8" s="28" t="str">
        <f aca="false">IF(F8="","",COUNT($F$5:F8))</f>
        <v/>
      </c>
      <c r="O8" s="28" t="str">
        <f aca="false">IF(H8="","",COUNT($H$5:H8))</f>
        <v/>
      </c>
    </row>
    <row r="9" customFormat="false" ht="15" hidden="false" customHeight="false" outlineLevel="0" collapsed="false">
      <c r="A9" s="26"/>
      <c r="B9" s="7" t="str">
        <f aca="false">IF(A9="","",INT((A9-'Tableau de bord'!$C$6)/7)+1)</f>
        <v/>
      </c>
      <c r="C9" s="3"/>
      <c r="D9" s="3"/>
      <c r="E9" s="3"/>
      <c r="F9" s="3"/>
      <c r="G9" s="3"/>
      <c r="H9" s="3"/>
      <c r="I9" s="3"/>
      <c r="J9" s="3"/>
      <c r="K9" s="3"/>
      <c r="L9" s="27"/>
      <c r="M9" s="28" t="str">
        <f aca="false">IF(E9="","",COUNT($E$5:E9))</f>
        <v/>
      </c>
      <c r="N9" s="28" t="str">
        <f aca="false">IF(F9="","",COUNT($F$5:F9))</f>
        <v/>
      </c>
      <c r="O9" s="28" t="str">
        <f aca="false">IF(H9="","",COUNT($H$5:H9))</f>
        <v/>
      </c>
    </row>
    <row r="10" customFormat="false" ht="15" hidden="false" customHeight="false" outlineLevel="0" collapsed="false">
      <c r="A10" s="26"/>
      <c r="B10" s="7" t="str">
        <f aca="false">IF(A10="","",INT((A10-'Tableau de bord'!$C$6)/7)+1)</f>
        <v/>
      </c>
      <c r="C10" s="3"/>
      <c r="D10" s="3"/>
      <c r="E10" s="3"/>
      <c r="F10" s="3"/>
      <c r="G10" s="3"/>
      <c r="H10" s="3"/>
      <c r="I10" s="3"/>
      <c r="J10" s="3"/>
      <c r="K10" s="3"/>
      <c r="L10" s="27"/>
      <c r="M10" s="28" t="str">
        <f aca="false">IF(E10="","",COUNT($E$5:E10))</f>
        <v/>
      </c>
      <c r="N10" s="28" t="str">
        <f aca="false">IF(F10="","",COUNT($F$5:F10))</f>
        <v/>
      </c>
      <c r="O10" s="28" t="str">
        <f aca="false">IF(H10="","",COUNT($H$5:H10))</f>
        <v/>
      </c>
    </row>
    <row r="11" customFormat="false" ht="15" hidden="false" customHeight="false" outlineLevel="0" collapsed="false">
      <c r="A11" s="26"/>
      <c r="B11" s="7" t="str">
        <f aca="false">IF(A11="","",INT((A11-'Tableau de bord'!$C$6)/7)+1)</f>
        <v/>
      </c>
      <c r="C11" s="3"/>
      <c r="D11" s="3"/>
      <c r="E11" s="3"/>
      <c r="F11" s="3"/>
      <c r="G11" s="3"/>
      <c r="H11" s="3"/>
      <c r="I11" s="3"/>
      <c r="J11" s="3"/>
      <c r="K11" s="3"/>
      <c r="L11" s="27"/>
      <c r="M11" s="28" t="str">
        <f aca="false">IF(E11="","",COUNT($E$5:E11))</f>
        <v/>
      </c>
      <c r="N11" s="28" t="str">
        <f aca="false">IF(F11="","",COUNT($F$5:F11))</f>
        <v/>
      </c>
      <c r="O11" s="28" t="str">
        <f aca="false">IF(H11="","",COUNT($H$5:H11))</f>
        <v/>
      </c>
    </row>
    <row r="12" customFormat="false" ht="15" hidden="false" customHeight="false" outlineLevel="0" collapsed="false">
      <c r="A12" s="26"/>
      <c r="B12" s="7" t="str">
        <f aca="false">IF(A12="","",INT((A12-'Tableau de bord'!$C$6)/7)+1)</f>
        <v/>
      </c>
      <c r="C12" s="3"/>
      <c r="D12" s="3"/>
      <c r="E12" s="3"/>
      <c r="F12" s="3"/>
      <c r="G12" s="3"/>
      <c r="H12" s="3"/>
      <c r="I12" s="3"/>
      <c r="J12" s="3"/>
      <c r="K12" s="3"/>
      <c r="L12" s="27"/>
      <c r="M12" s="28" t="str">
        <f aca="false">IF(E12="","",COUNT($E$5:E12))</f>
        <v/>
      </c>
      <c r="N12" s="28" t="str">
        <f aca="false">IF(F12="","",COUNT($F$5:F12))</f>
        <v/>
      </c>
      <c r="O12" s="28" t="str">
        <f aca="false">IF(H12="","",COUNT($H$5:H12))</f>
        <v/>
      </c>
    </row>
    <row r="13" customFormat="false" ht="15" hidden="false" customHeight="false" outlineLevel="0" collapsed="false">
      <c r="A13" s="26"/>
      <c r="B13" s="7" t="str">
        <f aca="false">IF(A13="","",INT((A13-'Tableau de bord'!$C$6)/7)+1)</f>
        <v/>
      </c>
      <c r="C13" s="3"/>
      <c r="D13" s="3"/>
      <c r="E13" s="3"/>
      <c r="F13" s="3"/>
      <c r="G13" s="3"/>
      <c r="H13" s="3"/>
      <c r="I13" s="3"/>
      <c r="J13" s="3"/>
      <c r="K13" s="3"/>
      <c r="L13" s="27"/>
      <c r="M13" s="28" t="str">
        <f aca="false">IF(E13="","",COUNT($E$5:E13))</f>
        <v/>
      </c>
      <c r="N13" s="28" t="str">
        <f aca="false">IF(F13="","",COUNT($F$5:F13))</f>
        <v/>
      </c>
      <c r="O13" s="28" t="str">
        <f aca="false">IF(H13="","",COUNT($H$5:H13))</f>
        <v/>
      </c>
    </row>
    <row r="14" customFormat="false" ht="15" hidden="false" customHeight="false" outlineLevel="0" collapsed="false">
      <c r="A14" s="26"/>
      <c r="B14" s="7" t="str">
        <f aca="false">IF(A14="","",INT((A14-'Tableau de bord'!$C$6)/7)+1)</f>
        <v/>
      </c>
      <c r="C14" s="3"/>
      <c r="D14" s="3"/>
      <c r="E14" s="3"/>
      <c r="F14" s="3"/>
      <c r="G14" s="3"/>
      <c r="H14" s="3"/>
      <c r="I14" s="3"/>
      <c r="J14" s="3"/>
      <c r="K14" s="3"/>
      <c r="L14" s="27"/>
      <c r="M14" s="28" t="str">
        <f aca="false">IF(E14="","",COUNT($E$5:E14))</f>
        <v/>
      </c>
      <c r="N14" s="28" t="str">
        <f aca="false">IF(F14="","",COUNT($F$5:F14))</f>
        <v/>
      </c>
      <c r="O14" s="28" t="str">
        <f aca="false">IF(H14="","",COUNT($H$5:H14))</f>
        <v/>
      </c>
    </row>
    <row r="15" customFormat="false" ht="15" hidden="false" customHeight="false" outlineLevel="0" collapsed="false">
      <c r="A15" s="26"/>
      <c r="B15" s="7" t="str">
        <f aca="false">IF(A15="","",INT((A15-'Tableau de bord'!$C$6)/7)+1)</f>
        <v/>
      </c>
      <c r="C15" s="3"/>
      <c r="D15" s="3"/>
      <c r="E15" s="3"/>
      <c r="F15" s="3"/>
      <c r="G15" s="3"/>
      <c r="H15" s="3"/>
      <c r="I15" s="3"/>
      <c r="J15" s="3"/>
      <c r="K15" s="3"/>
      <c r="L15" s="27"/>
      <c r="M15" s="28" t="str">
        <f aca="false">IF(E15="","",COUNT($E$5:E15))</f>
        <v/>
      </c>
      <c r="N15" s="28" t="str">
        <f aca="false">IF(F15="","",COUNT($F$5:F15))</f>
        <v/>
      </c>
      <c r="O15" s="28" t="str">
        <f aca="false">IF(H15="","",COUNT($H$5:H15))</f>
        <v/>
      </c>
    </row>
    <row r="16" customFormat="false" ht="15" hidden="false" customHeight="false" outlineLevel="0" collapsed="false">
      <c r="A16" s="26"/>
      <c r="B16" s="7" t="str">
        <f aca="false">IF(A16="","",INT((A16-'Tableau de bord'!$C$6)/7)+1)</f>
        <v/>
      </c>
      <c r="C16" s="3"/>
      <c r="D16" s="3"/>
      <c r="E16" s="3"/>
      <c r="F16" s="3"/>
      <c r="G16" s="3"/>
      <c r="H16" s="3"/>
      <c r="I16" s="3"/>
      <c r="J16" s="3"/>
      <c r="K16" s="3"/>
      <c r="L16" s="27"/>
      <c r="M16" s="28" t="str">
        <f aca="false">IF(E16="","",COUNT($E$5:E16))</f>
        <v/>
      </c>
      <c r="N16" s="28" t="str">
        <f aca="false">IF(F16="","",COUNT($F$5:F16))</f>
        <v/>
      </c>
      <c r="O16" s="28" t="str">
        <f aca="false">IF(H16="","",COUNT($H$5:H16))</f>
        <v/>
      </c>
    </row>
    <row r="17" customFormat="false" ht="15" hidden="false" customHeight="false" outlineLevel="0" collapsed="false">
      <c r="A17" s="26"/>
      <c r="B17" s="7" t="str">
        <f aca="false">IF(A17="","",INT((A17-'Tableau de bord'!$C$6)/7)+1)</f>
        <v/>
      </c>
      <c r="C17" s="3"/>
      <c r="D17" s="3"/>
      <c r="E17" s="3"/>
      <c r="F17" s="3"/>
      <c r="G17" s="3"/>
      <c r="H17" s="3"/>
      <c r="I17" s="3"/>
      <c r="J17" s="3"/>
      <c r="K17" s="3"/>
      <c r="L17" s="27"/>
      <c r="M17" s="28" t="str">
        <f aca="false">IF(E17="","",COUNT($E$5:E17))</f>
        <v/>
      </c>
      <c r="N17" s="28" t="str">
        <f aca="false">IF(F17="","",COUNT($F$5:F17))</f>
        <v/>
      </c>
      <c r="O17" s="28" t="str">
        <f aca="false">IF(H17="","",COUNT($H$5:H17))</f>
        <v/>
      </c>
    </row>
    <row r="18" customFormat="false" ht="15" hidden="false" customHeight="false" outlineLevel="0" collapsed="false">
      <c r="A18" s="26"/>
      <c r="B18" s="7" t="str">
        <f aca="false">IF(A18="","",INT((A18-'Tableau de bord'!$C$6)/7)+1)</f>
        <v/>
      </c>
      <c r="C18" s="3"/>
      <c r="D18" s="3"/>
      <c r="E18" s="3"/>
      <c r="F18" s="3"/>
      <c r="G18" s="3"/>
      <c r="H18" s="3"/>
      <c r="I18" s="3"/>
      <c r="J18" s="3"/>
      <c r="K18" s="3"/>
      <c r="L18" s="27"/>
      <c r="M18" s="28" t="str">
        <f aca="false">IF(E18="","",COUNT($E$5:E18))</f>
        <v/>
      </c>
      <c r="N18" s="28" t="str">
        <f aca="false">IF(F18="","",COUNT($F$5:F18))</f>
        <v/>
      </c>
      <c r="O18" s="28" t="str">
        <f aca="false">IF(H18="","",COUNT($H$5:H18))</f>
        <v/>
      </c>
    </row>
    <row r="19" customFormat="false" ht="15" hidden="false" customHeight="false" outlineLevel="0" collapsed="false">
      <c r="A19" s="26"/>
      <c r="B19" s="7" t="str">
        <f aca="false">IF(A19="","",INT((A19-'Tableau de bord'!$C$6)/7)+1)</f>
        <v/>
      </c>
      <c r="C19" s="3"/>
      <c r="D19" s="3"/>
      <c r="E19" s="3"/>
      <c r="F19" s="3"/>
      <c r="G19" s="3"/>
      <c r="H19" s="3"/>
      <c r="I19" s="3"/>
      <c r="J19" s="3"/>
      <c r="K19" s="3"/>
      <c r="L19" s="27"/>
      <c r="M19" s="28" t="str">
        <f aca="false">IF(E19="","",COUNT($E$5:E19))</f>
        <v/>
      </c>
      <c r="N19" s="28" t="str">
        <f aca="false">IF(F19="","",COUNT($F$5:F19))</f>
        <v/>
      </c>
      <c r="O19" s="28" t="str">
        <f aca="false">IF(H19="","",COUNT($H$5:H19))</f>
        <v/>
      </c>
    </row>
    <row r="20" customFormat="false" ht="15" hidden="false" customHeight="false" outlineLevel="0" collapsed="false">
      <c r="A20" s="26"/>
      <c r="B20" s="7" t="str">
        <f aca="false">IF(A20="","",INT((A20-'Tableau de bord'!$C$6)/7)+1)</f>
        <v/>
      </c>
      <c r="C20" s="3"/>
      <c r="D20" s="3"/>
      <c r="E20" s="3"/>
      <c r="F20" s="3"/>
      <c r="G20" s="3"/>
      <c r="H20" s="3"/>
      <c r="I20" s="3"/>
      <c r="J20" s="3"/>
      <c r="K20" s="3"/>
      <c r="L20" s="27"/>
      <c r="M20" s="28" t="str">
        <f aca="false">IF(E20="","",COUNT($E$5:E20))</f>
        <v/>
      </c>
      <c r="N20" s="28" t="str">
        <f aca="false">IF(F20="","",COUNT($F$5:F20))</f>
        <v/>
      </c>
      <c r="O20" s="28" t="str">
        <f aca="false">IF(H20="","",COUNT($H$5:H20))</f>
        <v/>
      </c>
    </row>
    <row r="21" customFormat="false" ht="15" hidden="false" customHeight="false" outlineLevel="0" collapsed="false">
      <c r="A21" s="26"/>
      <c r="B21" s="7" t="str">
        <f aca="false">IF(A21="","",INT((A21-'Tableau de bord'!$C$6)/7)+1)</f>
        <v/>
      </c>
      <c r="C21" s="3"/>
      <c r="D21" s="3"/>
      <c r="E21" s="3"/>
      <c r="F21" s="3"/>
      <c r="G21" s="3"/>
      <c r="H21" s="3"/>
      <c r="I21" s="3"/>
      <c r="J21" s="3"/>
      <c r="K21" s="3"/>
      <c r="L21" s="27"/>
      <c r="M21" s="28" t="str">
        <f aca="false">IF(E21="","",COUNT($E$5:E21))</f>
        <v/>
      </c>
      <c r="N21" s="28" t="str">
        <f aca="false">IF(F21="","",COUNT($F$5:F21))</f>
        <v/>
      </c>
      <c r="O21" s="28" t="str">
        <f aca="false">IF(H21="","",COUNT($H$5:H21))</f>
        <v/>
      </c>
    </row>
    <row r="22" customFormat="false" ht="15" hidden="false" customHeight="false" outlineLevel="0" collapsed="false">
      <c r="A22" s="26"/>
      <c r="B22" s="7" t="str">
        <f aca="false">IF(A22="","",INT((A22-'Tableau de bord'!$C$6)/7)+1)</f>
        <v/>
      </c>
      <c r="C22" s="3"/>
      <c r="D22" s="3"/>
      <c r="E22" s="3"/>
      <c r="F22" s="3"/>
      <c r="G22" s="3"/>
      <c r="H22" s="3"/>
      <c r="I22" s="3"/>
      <c r="J22" s="3"/>
      <c r="K22" s="3"/>
      <c r="L22" s="27"/>
      <c r="M22" s="28" t="str">
        <f aca="false">IF(E22="","",COUNT($E$5:E22))</f>
        <v/>
      </c>
      <c r="N22" s="28" t="str">
        <f aca="false">IF(F22="","",COUNT($F$5:F22))</f>
        <v/>
      </c>
      <c r="O22" s="28" t="str">
        <f aca="false">IF(H22="","",COUNT($H$5:H22))</f>
        <v/>
      </c>
    </row>
    <row r="23" customFormat="false" ht="15" hidden="false" customHeight="false" outlineLevel="0" collapsed="false">
      <c r="A23" s="26"/>
      <c r="B23" s="7" t="str">
        <f aca="false">IF(A23="","",INT((A23-'Tableau de bord'!$C$6)/7)+1)</f>
        <v/>
      </c>
      <c r="C23" s="3"/>
      <c r="D23" s="3"/>
      <c r="E23" s="3"/>
      <c r="F23" s="3"/>
      <c r="G23" s="3"/>
      <c r="H23" s="3"/>
      <c r="I23" s="3"/>
      <c r="J23" s="3"/>
      <c r="K23" s="3"/>
      <c r="L23" s="27"/>
      <c r="M23" s="28" t="str">
        <f aca="false">IF(E23="","",COUNT($E$5:E23))</f>
        <v/>
      </c>
      <c r="N23" s="28" t="str">
        <f aca="false">IF(F23="","",COUNT($F$5:F23))</f>
        <v/>
      </c>
      <c r="O23" s="28" t="str">
        <f aca="false">IF(H23="","",COUNT($H$5:H23))</f>
        <v/>
      </c>
    </row>
    <row r="24" customFormat="false" ht="15" hidden="false" customHeight="false" outlineLevel="0" collapsed="false">
      <c r="A24" s="26"/>
      <c r="B24" s="7" t="str">
        <f aca="false">IF(A24="","",INT((A24-'Tableau de bord'!$C$6)/7)+1)</f>
        <v/>
      </c>
      <c r="C24" s="3"/>
      <c r="D24" s="3"/>
      <c r="E24" s="3"/>
      <c r="F24" s="3"/>
      <c r="G24" s="3"/>
      <c r="H24" s="3"/>
      <c r="I24" s="3"/>
      <c r="J24" s="3"/>
      <c r="K24" s="3"/>
      <c r="L24" s="27"/>
      <c r="M24" s="28" t="str">
        <f aca="false">IF(E24="","",COUNT($E$5:E24))</f>
        <v/>
      </c>
      <c r="N24" s="28" t="str">
        <f aca="false">IF(F24="","",COUNT($F$5:F24))</f>
        <v/>
      </c>
      <c r="O24" s="28" t="str">
        <f aca="false">IF(H24="","",COUNT($H$5:H24))</f>
        <v/>
      </c>
    </row>
    <row r="25" customFormat="false" ht="15" hidden="false" customHeight="false" outlineLevel="0" collapsed="false">
      <c r="A25" s="26"/>
      <c r="B25" s="7" t="str">
        <f aca="false">IF(A25="","",INT((A25-'Tableau de bord'!$C$6)/7)+1)</f>
        <v/>
      </c>
      <c r="C25" s="3"/>
      <c r="D25" s="3"/>
      <c r="E25" s="3"/>
      <c r="F25" s="3"/>
      <c r="G25" s="3"/>
      <c r="H25" s="3"/>
      <c r="I25" s="3"/>
      <c r="J25" s="3"/>
      <c r="K25" s="3"/>
      <c r="L25" s="27"/>
      <c r="M25" s="28" t="str">
        <f aca="false">IF(E25="","",COUNT($E$5:E25))</f>
        <v/>
      </c>
      <c r="N25" s="28" t="str">
        <f aca="false">IF(F25="","",COUNT($F$5:F25))</f>
        <v/>
      </c>
      <c r="O25" s="28" t="str">
        <f aca="false">IF(H25="","",COUNT($H$5:H25))</f>
        <v/>
      </c>
    </row>
    <row r="26" customFormat="false" ht="15" hidden="false" customHeight="false" outlineLevel="0" collapsed="false">
      <c r="A26" s="26"/>
      <c r="B26" s="7" t="str">
        <f aca="false">IF(A26="","",INT((A26-'Tableau de bord'!$C$6)/7)+1)</f>
        <v/>
      </c>
      <c r="C26" s="3"/>
      <c r="D26" s="3"/>
      <c r="E26" s="3"/>
      <c r="F26" s="3"/>
      <c r="G26" s="3"/>
      <c r="H26" s="3"/>
      <c r="I26" s="3"/>
      <c r="J26" s="3"/>
      <c r="K26" s="3"/>
      <c r="L26" s="27"/>
      <c r="M26" s="28" t="str">
        <f aca="false">IF(E26="","",COUNT($E$5:E26))</f>
        <v/>
      </c>
      <c r="N26" s="28" t="str">
        <f aca="false">IF(F26="","",COUNT($F$5:F26))</f>
        <v/>
      </c>
      <c r="O26" s="28" t="str">
        <f aca="false">IF(H26="","",COUNT($H$5:H26))</f>
        <v/>
      </c>
    </row>
    <row r="27" customFormat="false" ht="15" hidden="false" customHeight="false" outlineLevel="0" collapsed="false">
      <c r="A27" s="26"/>
      <c r="B27" s="7" t="str">
        <f aca="false">IF(A27="","",INT((A27-'Tableau de bord'!$C$6)/7)+1)</f>
        <v/>
      </c>
      <c r="C27" s="3"/>
      <c r="D27" s="3"/>
      <c r="E27" s="3"/>
      <c r="F27" s="3"/>
      <c r="G27" s="3"/>
      <c r="H27" s="3"/>
      <c r="I27" s="3"/>
      <c r="J27" s="3"/>
      <c r="K27" s="3"/>
      <c r="L27" s="27"/>
      <c r="M27" s="28" t="str">
        <f aca="false">IF(E27="","",COUNT($E$5:E27))</f>
        <v/>
      </c>
      <c r="N27" s="28" t="str">
        <f aca="false">IF(F27="","",COUNT($F$5:F27))</f>
        <v/>
      </c>
      <c r="O27" s="28" t="str">
        <f aca="false">IF(H27="","",COUNT($H$5:H27))</f>
        <v/>
      </c>
    </row>
    <row r="28" customFormat="false" ht="15" hidden="false" customHeight="false" outlineLevel="0" collapsed="false">
      <c r="A28" s="26"/>
      <c r="B28" s="7" t="str">
        <f aca="false">IF(A28="","",INT((A28-'Tableau de bord'!$C$6)/7)+1)</f>
        <v/>
      </c>
      <c r="C28" s="3"/>
      <c r="D28" s="3"/>
      <c r="E28" s="3"/>
      <c r="F28" s="3"/>
      <c r="G28" s="3"/>
      <c r="H28" s="3"/>
      <c r="I28" s="3"/>
      <c r="J28" s="3"/>
      <c r="K28" s="3"/>
      <c r="L28" s="27"/>
      <c r="M28" s="28" t="str">
        <f aca="false">IF(E28="","",COUNT($E$5:E28))</f>
        <v/>
      </c>
      <c r="N28" s="28" t="str">
        <f aca="false">IF(F28="","",COUNT($F$5:F28))</f>
        <v/>
      </c>
      <c r="O28" s="28" t="str">
        <f aca="false">IF(H28="","",COUNT($H$5:H28))</f>
        <v/>
      </c>
    </row>
    <row r="29" customFormat="false" ht="15" hidden="false" customHeight="false" outlineLevel="0" collapsed="false">
      <c r="A29" s="26"/>
      <c r="B29" s="7" t="str">
        <f aca="false">IF(A29="","",INT((A29-'Tableau de bord'!$C$6)/7)+1)</f>
        <v/>
      </c>
      <c r="C29" s="3"/>
      <c r="D29" s="3"/>
      <c r="E29" s="3"/>
      <c r="F29" s="3"/>
      <c r="G29" s="3"/>
      <c r="H29" s="3"/>
      <c r="I29" s="3"/>
      <c r="J29" s="3"/>
      <c r="K29" s="3"/>
      <c r="L29" s="27"/>
      <c r="M29" s="28" t="str">
        <f aca="false">IF(E29="","",COUNT($E$5:E29))</f>
        <v/>
      </c>
      <c r="N29" s="28" t="str">
        <f aca="false">IF(F29="","",COUNT($F$5:F29))</f>
        <v/>
      </c>
      <c r="O29" s="28" t="str">
        <f aca="false">IF(H29="","",COUNT($H$5:H29))</f>
        <v/>
      </c>
    </row>
    <row r="30" customFormat="false" ht="15" hidden="false" customHeight="false" outlineLevel="0" collapsed="false">
      <c r="A30" s="26"/>
      <c r="B30" s="7" t="str">
        <f aca="false">IF(A30="","",INT((A30-'Tableau de bord'!$C$6)/7)+1)</f>
        <v/>
      </c>
      <c r="C30" s="3"/>
      <c r="D30" s="3"/>
      <c r="E30" s="3"/>
      <c r="F30" s="3"/>
      <c r="G30" s="3"/>
      <c r="H30" s="3"/>
      <c r="I30" s="3"/>
      <c r="J30" s="3"/>
      <c r="K30" s="3"/>
      <c r="L30" s="27"/>
      <c r="M30" s="28" t="str">
        <f aca="false">IF(E30="","",COUNT($E$5:E30))</f>
        <v/>
      </c>
      <c r="N30" s="28" t="str">
        <f aca="false">IF(F30="","",COUNT($F$5:F30))</f>
        <v/>
      </c>
      <c r="O30" s="28" t="str">
        <f aca="false">IF(H30="","",COUNT($H$5:H30))</f>
        <v/>
      </c>
    </row>
    <row r="31" customFormat="false" ht="15" hidden="false" customHeight="false" outlineLevel="0" collapsed="false">
      <c r="A31" s="26"/>
      <c r="B31" s="7" t="str">
        <f aca="false">IF(A31="","",INT((A31-'Tableau de bord'!$C$6)/7)+1)</f>
        <v/>
      </c>
      <c r="C31" s="3"/>
      <c r="D31" s="3"/>
      <c r="E31" s="3"/>
      <c r="F31" s="3"/>
      <c r="G31" s="3"/>
      <c r="H31" s="3"/>
      <c r="I31" s="3"/>
      <c r="J31" s="3"/>
      <c r="K31" s="3"/>
      <c r="L31" s="27"/>
      <c r="M31" s="28" t="str">
        <f aca="false">IF(E31="","",COUNT($E$5:E31))</f>
        <v/>
      </c>
      <c r="N31" s="28" t="str">
        <f aca="false">IF(F31="","",COUNT($F$5:F31))</f>
        <v/>
      </c>
      <c r="O31" s="28" t="str">
        <f aca="false">IF(H31="","",COUNT($H$5:H31))</f>
        <v/>
      </c>
    </row>
    <row r="32" customFormat="false" ht="15" hidden="false" customHeight="false" outlineLevel="0" collapsed="false">
      <c r="A32" s="26"/>
      <c r="B32" s="7" t="str">
        <f aca="false">IF(A32="","",INT((A32-'Tableau de bord'!$C$6)/7)+1)</f>
        <v/>
      </c>
      <c r="C32" s="3"/>
      <c r="D32" s="3"/>
      <c r="E32" s="3"/>
      <c r="F32" s="3"/>
      <c r="G32" s="3"/>
      <c r="H32" s="3"/>
      <c r="I32" s="3"/>
      <c r="J32" s="3"/>
      <c r="K32" s="3"/>
      <c r="L32" s="27"/>
      <c r="M32" s="28" t="str">
        <f aca="false">IF(E32="","",COUNT($E$5:E32))</f>
        <v/>
      </c>
      <c r="N32" s="28" t="str">
        <f aca="false">IF(F32="","",COUNT($F$5:F32))</f>
        <v/>
      </c>
      <c r="O32" s="28" t="str">
        <f aca="false">IF(H32="","",COUNT($H$5:H32))</f>
        <v/>
      </c>
    </row>
    <row r="33" customFormat="false" ht="15" hidden="false" customHeight="false" outlineLevel="0" collapsed="false">
      <c r="A33" s="26"/>
      <c r="B33" s="7" t="str">
        <f aca="false">IF(A33="","",INT((A33-'Tableau de bord'!$C$6)/7)+1)</f>
        <v/>
      </c>
      <c r="C33" s="3"/>
      <c r="D33" s="3"/>
      <c r="E33" s="3"/>
      <c r="F33" s="3"/>
      <c r="G33" s="3"/>
      <c r="H33" s="3"/>
      <c r="I33" s="3"/>
      <c r="J33" s="3"/>
      <c r="K33" s="3"/>
      <c r="L33" s="27"/>
      <c r="M33" s="28" t="str">
        <f aca="false">IF(E33="","",COUNT($E$5:E33))</f>
        <v/>
      </c>
      <c r="N33" s="28" t="str">
        <f aca="false">IF(F33="","",COUNT($F$5:F33))</f>
        <v/>
      </c>
      <c r="O33" s="28" t="str">
        <f aca="false">IF(H33="","",COUNT($H$5:H33))</f>
        <v/>
      </c>
    </row>
    <row r="34" customFormat="false" ht="15" hidden="false" customHeight="false" outlineLevel="0" collapsed="false">
      <c r="A34" s="26"/>
      <c r="B34" s="7" t="str">
        <f aca="false">IF(A34="","",INT((A34-'Tableau de bord'!$C$6)/7)+1)</f>
        <v/>
      </c>
      <c r="C34" s="3"/>
      <c r="D34" s="3"/>
      <c r="E34" s="3"/>
      <c r="F34" s="3"/>
      <c r="G34" s="3"/>
      <c r="H34" s="3"/>
      <c r="I34" s="3"/>
      <c r="J34" s="3"/>
      <c r="K34" s="3"/>
      <c r="L34" s="27"/>
      <c r="M34" s="28" t="str">
        <f aca="false">IF(E34="","",COUNT($E$5:E34))</f>
        <v/>
      </c>
      <c r="N34" s="28" t="str">
        <f aca="false">IF(F34="","",COUNT($F$5:F34))</f>
        <v/>
      </c>
      <c r="O34" s="28" t="str">
        <f aca="false">IF(H34="","",COUNT($H$5:H34))</f>
        <v/>
      </c>
    </row>
    <row r="35" customFormat="false" ht="15" hidden="false" customHeight="false" outlineLevel="0" collapsed="false">
      <c r="A35" s="26"/>
      <c r="B35" s="7" t="str">
        <f aca="false">IF(A35="","",INT((A35-'Tableau de bord'!$C$6)/7)+1)</f>
        <v/>
      </c>
      <c r="C35" s="3"/>
      <c r="D35" s="3"/>
      <c r="E35" s="3"/>
      <c r="F35" s="3"/>
      <c r="G35" s="3"/>
      <c r="H35" s="3"/>
      <c r="I35" s="3"/>
      <c r="J35" s="3"/>
      <c r="K35" s="3"/>
      <c r="L35" s="27"/>
      <c r="M35" s="28" t="str">
        <f aca="false">IF(E35="","",COUNT($E$5:E35))</f>
        <v/>
      </c>
      <c r="N35" s="28" t="str">
        <f aca="false">IF(F35="","",COUNT($F$5:F35))</f>
        <v/>
      </c>
      <c r="O35" s="28" t="str">
        <f aca="false">IF(H35="","",COUNT($H$5:H35))</f>
        <v/>
      </c>
    </row>
    <row r="36" customFormat="false" ht="15" hidden="false" customHeight="false" outlineLevel="0" collapsed="false">
      <c r="A36" s="26"/>
      <c r="B36" s="7" t="str">
        <f aca="false">IF(A36="","",INT((A36-'Tableau de bord'!$C$6)/7)+1)</f>
        <v/>
      </c>
      <c r="C36" s="3"/>
      <c r="D36" s="3"/>
      <c r="E36" s="3"/>
      <c r="F36" s="3"/>
      <c r="G36" s="3"/>
      <c r="H36" s="3"/>
      <c r="I36" s="3"/>
      <c r="J36" s="3"/>
      <c r="K36" s="3"/>
      <c r="L36" s="27"/>
      <c r="M36" s="28" t="str">
        <f aca="false">IF(E36="","",COUNT($E$5:E36))</f>
        <v/>
      </c>
      <c r="N36" s="28" t="str">
        <f aca="false">IF(F36="","",COUNT($F$5:F36))</f>
        <v/>
      </c>
      <c r="O36" s="28" t="str">
        <f aca="false">IF(H36="","",COUNT($H$5:H36))</f>
        <v/>
      </c>
    </row>
    <row r="37" customFormat="false" ht="15" hidden="false" customHeight="false" outlineLevel="0" collapsed="false">
      <c r="A37" s="26"/>
      <c r="B37" s="7" t="str">
        <f aca="false">IF(A37="","",INT((A37-'Tableau de bord'!$C$6)/7)+1)</f>
        <v/>
      </c>
      <c r="C37" s="3"/>
      <c r="D37" s="3"/>
      <c r="E37" s="3"/>
      <c r="F37" s="3"/>
      <c r="G37" s="3"/>
      <c r="H37" s="3"/>
      <c r="I37" s="3"/>
      <c r="J37" s="3"/>
      <c r="K37" s="3"/>
      <c r="L37" s="27"/>
      <c r="M37" s="28" t="str">
        <f aca="false">IF(E37="","",COUNT($E$5:E37))</f>
        <v/>
      </c>
      <c r="N37" s="28" t="str">
        <f aca="false">IF(F37="","",COUNT($F$5:F37))</f>
        <v/>
      </c>
      <c r="O37" s="28" t="str">
        <f aca="false">IF(H37="","",COUNT($H$5:H37))</f>
        <v/>
      </c>
    </row>
    <row r="38" customFormat="false" ht="15" hidden="false" customHeight="false" outlineLevel="0" collapsed="false">
      <c r="A38" s="26"/>
      <c r="B38" s="7" t="str">
        <f aca="false">IF(A38="","",INT((A38-'Tableau de bord'!$C$6)/7)+1)</f>
        <v/>
      </c>
      <c r="C38" s="3"/>
      <c r="D38" s="3"/>
      <c r="E38" s="3"/>
      <c r="F38" s="3"/>
      <c r="G38" s="3"/>
      <c r="H38" s="3"/>
      <c r="I38" s="3"/>
      <c r="J38" s="3"/>
      <c r="K38" s="3"/>
      <c r="L38" s="27"/>
      <c r="M38" s="28" t="str">
        <f aca="false">IF(E38="","",COUNT($E$5:E38))</f>
        <v/>
      </c>
      <c r="N38" s="28" t="str">
        <f aca="false">IF(F38="","",COUNT($F$5:F38))</f>
        <v/>
      </c>
      <c r="O38" s="28" t="str">
        <f aca="false">IF(H38="","",COUNT($H$5:H38))</f>
        <v/>
      </c>
    </row>
    <row r="39" customFormat="false" ht="15" hidden="false" customHeight="false" outlineLevel="0" collapsed="false">
      <c r="A39" s="26"/>
      <c r="B39" s="7" t="str">
        <f aca="false">IF(A39="","",INT((A39-'Tableau de bord'!$C$6)/7)+1)</f>
        <v/>
      </c>
      <c r="C39" s="3"/>
      <c r="D39" s="3"/>
      <c r="E39" s="3"/>
      <c r="F39" s="3"/>
      <c r="G39" s="3"/>
      <c r="H39" s="3"/>
      <c r="I39" s="3"/>
      <c r="J39" s="3"/>
      <c r="K39" s="3"/>
      <c r="L39" s="27"/>
      <c r="M39" s="28" t="str">
        <f aca="false">IF(E39="","",COUNT($E$5:E39))</f>
        <v/>
      </c>
      <c r="N39" s="28" t="str">
        <f aca="false">IF(F39="","",COUNT($F$5:F39))</f>
        <v/>
      </c>
      <c r="O39" s="28" t="str">
        <f aca="false">IF(H39="","",COUNT($H$5:H39))</f>
        <v/>
      </c>
    </row>
    <row r="40" customFormat="false" ht="15" hidden="false" customHeight="false" outlineLevel="0" collapsed="false">
      <c r="A40" s="26"/>
      <c r="B40" s="7" t="str">
        <f aca="false">IF(A40="","",INT((A40-'Tableau de bord'!$C$6)/7)+1)</f>
        <v/>
      </c>
      <c r="C40" s="3"/>
      <c r="D40" s="3"/>
      <c r="E40" s="3"/>
      <c r="F40" s="3"/>
      <c r="G40" s="3"/>
      <c r="H40" s="3"/>
      <c r="I40" s="3"/>
      <c r="J40" s="3"/>
      <c r="K40" s="3"/>
      <c r="L40" s="27"/>
      <c r="M40" s="28" t="str">
        <f aca="false">IF(E40="","",COUNT($E$5:E40))</f>
        <v/>
      </c>
      <c r="N40" s="28" t="str">
        <f aca="false">IF(F40="","",COUNT($F$5:F40))</f>
        <v/>
      </c>
      <c r="O40" s="28" t="str">
        <f aca="false">IF(H40="","",COUNT($H$5:H40))</f>
        <v/>
      </c>
    </row>
    <row r="41" customFormat="false" ht="15" hidden="false" customHeight="false" outlineLevel="0" collapsed="false">
      <c r="A41" s="26"/>
      <c r="B41" s="7" t="str">
        <f aca="false">IF(A41="","",INT((A41-'Tableau de bord'!$C$6)/7)+1)</f>
        <v/>
      </c>
      <c r="C41" s="3"/>
      <c r="D41" s="3"/>
      <c r="E41" s="3"/>
      <c r="F41" s="3"/>
      <c r="G41" s="3"/>
      <c r="H41" s="3"/>
      <c r="I41" s="3"/>
      <c r="J41" s="3"/>
      <c r="K41" s="3"/>
      <c r="L41" s="27"/>
      <c r="M41" s="28" t="str">
        <f aca="false">IF(E41="","",COUNT($E$5:E41))</f>
        <v/>
      </c>
      <c r="N41" s="28" t="str">
        <f aca="false">IF(F41="","",COUNT($F$5:F41))</f>
        <v/>
      </c>
      <c r="O41" s="28" t="str">
        <f aca="false">IF(H41="","",COUNT($H$5:H41))</f>
        <v/>
      </c>
    </row>
    <row r="42" customFormat="false" ht="15" hidden="false" customHeight="false" outlineLevel="0" collapsed="false">
      <c r="A42" s="26"/>
      <c r="B42" s="7" t="str">
        <f aca="false">IF(A42="","",INT((A42-'Tableau de bord'!$C$6)/7)+1)</f>
        <v/>
      </c>
      <c r="C42" s="3"/>
      <c r="D42" s="3"/>
      <c r="E42" s="3"/>
      <c r="F42" s="3"/>
      <c r="G42" s="3"/>
      <c r="H42" s="3"/>
      <c r="I42" s="3"/>
      <c r="J42" s="3"/>
      <c r="K42" s="3"/>
      <c r="L42" s="27"/>
      <c r="M42" s="28" t="str">
        <f aca="false">IF(E42="","",COUNT($E$5:E42))</f>
        <v/>
      </c>
      <c r="N42" s="28" t="str">
        <f aca="false">IF(F42="","",COUNT($F$5:F42))</f>
        <v/>
      </c>
      <c r="O42" s="28" t="str">
        <f aca="false">IF(H42="","",COUNT($H$5:H42))</f>
        <v/>
      </c>
    </row>
    <row r="43" customFormat="false" ht="15" hidden="false" customHeight="false" outlineLevel="0" collapsed="false">
      <c r="A43" s="26"/>
      <c r="B43" s="7" t="str">
        <f aca="false">IF(A43="","",INT((A43-'Tableau de bord'!$C$6)/7)+1)</f>
        <v/>
      </c>
      <c r="C43" s="3"/>
      <c r="D43" s="3"/>
      <c r="E43" s="3"/>
      <c r="F43" s="3"/>
      <c r="G43" s="3"/>
      <c r="H43" s="3"/>
      <c r="I43" s="3"/>
      <c r="J43" s="3"/>
      <c r="K43" s="3"/>
      <c r="L43" s="27"/>
      <c r="M43" s="28" t="str">
        <f aca="false">IF(E43="","",COUNT($E$5:E43))</f>
        <v/>
      </c>
      <c r="N43" s="28" t="str">
        <f aca="false">IF(F43="","",COUNT($F$5:F43))</f>
        <v/>
      </c>
      <c r="O43" s="28" t="str">
        <f aca="false">IF(H43="","",COUNT($H$5:H43))</f>
        <v/>
      </c>
    </row>
    <row r="44" customFormat="false" ht="15" hidden="false" customHeight="false" outlineLevel="0" collapsed="false">
      <c r="A44" s="26"/>
      <c r="B44" s="7" t="str">
        <f aca="false">IF(A44="","",INT((A44-'Tableau de bord'!$C$6)/7)+1)</f>
        <v/>
      </c>
      <c r="C44" s="3"/>
      <c r="D44" s="3"/>
      <c r="E44" s="3"/>
      <c r="F44" s="3"/>
      <c r="G44" s="3"/>
      <c r="H44" s="3"/>
      <c r="I44" s="3"/>
      <c r="J44" s="3"/>
      <c r="K44" s="3"/>
      <c r="L44" s="27"/>
      <c r="M44" s="28" t="str">
        <f aca="false">IF(E44="","",COUNT($E$5:E44))</f>
        <v/>
      </c>
      <c r="N44" s="28" t="str">
        <f aca="false">IF(F44="","",COUNT($F$5:F44))</f>
        <v/>
      </c>
      <c r="O44" s="28" t="str">
        <f aca="false">IF(H44="","",COUNT($H$5:H44))</f>
        <v/>
      </c>
    </row>
    <row r="45" customFormat="false" ht="15" hidden="false" customHeight="false" outlineLevel="0" collapsed="false">
      <c r="A45" s="26"/>
      <c r="B45" s="7" t="str">
        <f aca="false">IF(A45="","",INT((A45-'Tableau de bord'!$C$6)/7)+1)</f>
        <v/>
      </c>
      <c r="C45" s="3"/>
      <c r="D45" s="3"/>
      <c r="E45" s="3"/>
      <c r="F45" s="3"/>
      <c r="G45" s="3"/>
      <c r="H45" s="3"/>
      <c r="I45" s="3"/>
      <c r="J45" s="3"/>
      <c r="K45" s="3"/>
      <c r="L45" s="27"/>
      <c r="M45" s="28" t="str">
        <f aca="false">IF(E45="","",COUNT($E$5:E45))</f>
        <v/>
      </c>
      <c r="N45" s="28" t="str">
        <f aca="false">IF(F45="","",COUNT($F$5:F45))</f>
        <v/>
      </c>
      <c r="O45" s="28" t="str">
        <f aca="false">IF(H45="","",COUNT($H$5:H45))</f>
        <v/>
      </c>
    </row>
    <row r="46" customFormat="false" ht="15" hidden="false" customHeight="false" outlineLevel="0" collapsed="false">
      <c r="A46" s="26"/>
      <c r="B46" s="7" t="str">
        <f aca="false">IF(A46="","",INT((A46-'Tableau de bord'!$C$6)/7)+1)</f>
        <v/>
      </c>
      <c r="C46" s="3"/>
      <c r="D46" s="3"/>
      <c r="E46" s="3"/>
      <c r="F46" s="3"/>
      <c r="G46" s="3"/>
      <c r="H46" s="3"/>
      <c r="I46" s="3"/>
      <c r="J46" s="3"/>
      <c r="K46" s="3"/>
      <c r="L46" s="27"/>
      <c r="M46" s="28" t="str">
        <f aca="false">IF(E46="","",COUNT($E$5:E46))</f>
        <v/>
      </c>
      <c r="N46" s="28" t="str">
        <f aca="false">IF(F46="","",COUNT($F$5:F46))</f>
        <v/>
      </c>
      <c r="O46" s="28" t="str">
        <f aca="false">IF(H46="","",COUNT($H$5:H46))</f>
        <v/>
      </c>
    </row>
    <row r="47" customFormat="false" ht="15" hidden="false" customHeight="false" outlineLevel="0" collapsed="false">
      <c r="A47" s="26"/>
      <c r="B47" s="7" t="str">
        <f aca="false">IF(A47="","",INT((A47-'Tableau de bord'!$C$6)/7)+1)</f>
        <v/>
      </c>
      <c r="C47" s="3"/>
      <c r="D47" s="3"/>
      <c r="E47" s="3"/>
      <c r="F47" s="3"/>
      <c r="G47" s="3"/>
      <c r="H47" s="3"/>
      <c r="I47" s="3"/>
      <c r="J47" s="3"/>
      <c r="K47" s="3"/>
      <c r="L47" s="27"/>
      <c r="M47" s="28" t="str">
        <f aca="false">IF(E47="","",COUNT($E$5:E47))</f>
        <v/>
      </c>
      <c r="N47" s="28" t="str">
        <f aca="false">IF(F47="","",COUNT($F$5:F47))</f>
        <v/>
      </c>
      <c r="O47" s="28" t="str">
        <f aca="false">IF(H47="","",COUNT($H$5:H47))</f>
        <v/>
      </c>
    </row>
    <row r="48" customFormat="false" ht="15" hidden="false" customHeight="false" outlineLevel="0" collapsed="false">
      <c r="A48" s="26"/>
      <c r="B48" s="7" t="str">
        <f aca="false">IF(A48="","",INT((A48-'Tableau de bord'!$C$6)/7)+1)</f>
        <v/>
      </c>
      <c r="C48" s="3"/>
      <c r="D48" s="3"/>
      <c r="E48" s="3"/>
      <c r="F48" s="3"/>
      <c r="G48" s="3"/>
      <c r="H48" s="3"/>
      <c r="I48" s="3"/>
      <c r="J48" s="3"/>
      <c r="K48" s="3"/>
      <c r="L48" s="27"/>
      <c r="M48" s="28" t="str">
        <f aca="false">IF(E48="","",COUNT($E$5:E48))</f>
        <v/>
      </c>
      <c r="N48" s="28" t="str">
        <f aca="false">IF(F48="","",COUNT($F$5:F48))</f>
        <v/>
      </c>
      <c r="O48" s="28" t="str">
        <f aca="false">IF(H48="","",COUNT($H$5:H48))</f>
        <v/>
      </c>
    </row>
    <row r="49" customFormat="false" ht="15" hidden="false" customHeight="false" outlineLevel="0" collapsed="false">
      <c r="A49" s="26"/>
      <c r="B49" s="7" t="str">
        <f aca="false">IF(A49="","",INT((A49-'Tableau de bord'!$C$6)/7)+1)</f>
        <v/>
      </c>
      <c r="C49" s="3"/>
      <c r="D49" s="3"/>
      <c r="E49" s="3"/>
      <c r="F49" s="3"/>
      <c r="G49" s="3"/>
      <c r="H49" s="3"/>
      <c r="I49" s="3"/>
      <c r="J49" s="3"/>
      <c r="K49" s="3"/>
      <c r="L49" s="27"/>
      <c r="M49" s="28" t="str">
        <f aca="false">IF(E49="","",COUNT($E$5:E49))</f>
        <v/>
      </c>
      <c r="N49" s="28" t="str">
        <f aca="false">IF(F49="","",COUNT($F$5:F49))</f>
        <v/>
      </c>
      <c r="O49" s="28" t="str">
        <f aca="false">IF(H49="","",COUNT($H$5:H49))</f>
        <v/>
      </c>
    </row>
    <row r="50" customFormat="false" ht="15" hidden="false" customHeight="false" outlineLevel="0" collapsed="false">
      <c r="A50" s="26"/>
      <c r="B50" s="7" t="str">
        <f aca="false">IF(A50="","",INT((A50-'Tableau de bord'!$C$6)/7)+1)</f>
        <v/>
      </c>
      <c r="C50" s="3"/>
      <c r="D50" s="3"/>
      <c r="E50" s="3"/>
      <c r="F50" s="3"/>
      <c r="G50" s="3"/>
      <c r="H50" s="3"/>
      <c r="I50" s="3"/>
      <c r="J50" s="3"/>
      <c r="K50" s="3"/>
      <c r="L50" s="27"/>
      <c r="M50" s="28" t="str">
        <f aca="false">IF(E50="","",COUNT($E$5:E50))</f>
        <v/>
      </c>
      <c r="N50" s="28" t="str">
        <f aca="false">IF(F50="","",COUNT($F$5:F50))</f>
        <v/>
      </c>
      <c r="O50" s="28" t="str">
        <f aca="false">IF(H50="","",COUNT($H$5:H50))</f>
        <v/>
      </c>
    </row>
    <row r="51" customFormat="false" ht="15" hidden="false" customHeight="false" outlineLevel="0" collapsed="false">
      <c r="A51" s="26"/>
      <c r="B51" s="7" t="str">
        <f aca="false">IF(A51="","",INT((A51-'Tableau de bord'!$C$6)/7)+1)</f>
        <v/>
      </c>
      <c r="C51" s="3"/>
      <c r="D51" s="3"/>
      <c r="E51" s="3"/>
      <c r="F51" s="3"/>
      <c r="G51" s="3"/>
      <c r="H51" s="3"/>
      <c r="I51" s="3"/>
      <c r="J51" s="3"/>
      <c r="K51" s="3"/>
      <c r="L51" s="27"/>
      <c r="M51" s="28" t="str">
        <f aca="false">IF(E51="","",COUNT($E$5:E51))</f>
        <v/>
      </c>
      <c r="N51" s="28" t="str">
        <f aca="false">IF(F51="","",COUNT($F$5:F51))</f>
        <v/>
      </c>
      <c r="O51" s="28" t="str">
        <f aca="false">IF(H51="","",COUNT($H$5:H51))</f>
        <v/>
      </c>
    </row>
    <row r="52" customFormat="false" ht="15" hidden="false" customHeight="false" outlineLevel="0" collapsed="false">
      <c r="A52" s="26"/>
      <c r="B52" s="7" t="str">
        <f aca="false">IF(A52="","",INT((A52-'Tableau de bord'!$C$6)/7)+1)</f>
        <v/>
      </c>
      <c r="C52" s="3"/>
      <c r="D52" s="3"/>
      <c r="E52" s="3"/>
      <c r="F52" s="3"/>
      <c r="G52" s="3"/>
      <c r="H52" s="3"/>
      <c r="I52" s="3"/>
      <c r="J52" s="3"/>
      <c r="K52" s="3"/>
      <c r="L52" s="27"/>
      <c r="M52" s="28" t="str">
        <f aca="false">IF(E52="","",COUNT($E$5:E52))</f>
        <v/>
      </c>
      <c r="N52" s="28" t="str">
        <f aca="false">IF(F52="","",COUNT($F$5:F52))</f>
        <v/>
      </c>
      <c r="O52" s="28" t="str">
        <f aca="false">IF(H52="","",COUNT($H$5:H52))</f>
        <v/>
      </c>
    </row>
    <row r="53" customFormat="false" ht="15" hidden="false" customHeight="false" outlineLevel="0" collapsed="false">
      <c r="A53" s="26"/>
      <c r="B53" s="7" t="str">
        <f aca="false">IF(A53="","",INT((A53-'Tableau de bord'!$C$6)/7)+1)</f>
        <v/>
      </c>
      <c r="C53" s="3"/>
      <c r="D53" s="3"/>
      <c r="E53" s="3"/>
      <c r="F53" s="3"/>
      <c r="G53" s="3"/>
      <c r="H53" s="3"/>
      <c r="I53" s="3"/>
      <c r="J53" s="3"/>
      <c r="K53" s="3"/>
      <c r="L53" s="27"/>
      <c r="M53" s="28" t="str">
        <f aca="false">IF(E53="","",COUNT($E$5:E53))</f>
        <v/>
      </c>
      <c r="N53" s="28" t="str">
        <f aca="false">IF(F53="","",COUNT($F$5:F53))</f>
        <v/>
      </c>
      <c r="O53" s="28" t="str">
        <f aca="false">IF(H53="","",COUNT($H$5:H53))</f>
        <v/>
      </c>
    </row>
    <row r="54" customFormat="false" ht="15" hidden="false" customHeight="false" outlineLevel="0" collapsed="false">
      <c r="A54" s="26"/>
      <c r="B54" s="7" t="str">
        <f aca="false">IF(A54="","",INT((A54-'Tableau de bord'!$C$6)/7)+1)</f>
        <v/>
      </c>
      <c r="C54" s="3"/>
      <c r="D54" s="3"/>
      <c r="E54" s="3"/>
      <c r="F54" s="3"/>
      <c r="G54" s="3"/>
      <c r="H54" s="3"/>
      <c r="I54" s="3"/>
      <c r="J54" s="3"/>
      <c r="K54" s="3"/>
      <c r="L54" s="27"/>
      <c r="M54" s="28" t="str">
        <f aca="false">IF(E54="","",COUNT($E$5:E54))</f>
        <v/>
      </c>
      <c r="N54" s="28" t="str">
        <f aca="false">IF(F54="","",COUNT($F$5:F54))</f>
        <v/>
      </c>
      <c r="O54" s="28" t="str">
        <f aca="false">IF(H54="","",COUNT($H$5:H54))</f>
        <v/>
      </c>
    </row>
    <row r="55" customFormat="false" ht="15" hidden="false" customHeight="false" outlineLevel="0" collapsed="false">
      <c r="A55" s="26"/>
      <c r="B55" s="7" t="str">
        <f aca="false">IF(A55="","",INT((A55-'Tableau de bord'!$C$6)/7)+1)</f>
        <v/>
      </c>
      <c r="C55" s="3"/>
      <c r="D55" s="3"/>
      <c r="E55" s="3"/>
      <c r="F55" s="3"/>
      <c r="G55" s="3"/>
      <c r="H55" s="3"/>
      <c r="I55" s="3"/>
      <c r="J55" s="3"/>
      <c r="K55" s="3"/>
      <c r="L55" s="27"/>
      <c r="M55" s="28" t="str">
        <f aca="false">IF(E55="","",COUNT($E$5:E55))</f>
        <v/>
      </c>
      <c r="N55" s="28" t="str">
        <f aca="false">IF(F55="","",COUNT($F$5:F55))</f>
        <v/>
      </c>
      <c r="O55" s="28" t="str">
        <f aca="false">IF(H55="","",COUNT($H$5:H55))</f>
        <v/>
      </c>
    </row>
    <row r="56" customFormat="false" ht="15" hidden="false" customHeight="false" outlineLevel="0" collapsed="false">
      <c r="A56" s="26"/>
      <c r="B56" s="7" t="str">
        <f aca="false">IF(A56="","",INT((A56-'Tableau de bord'!$C$6)/7)+1)</f>
        <v/>
      </c>
      <c r="C56" s="3"/>
      <c r="D56" s="3"/>
      <c r="E56" s="3"/>
      <c r="F56" s="3"/>
      <c r="G56" s="3"/>
      <c r="H56" s="3"/>
      <c r="I56" s="3"/>
      <c r="J56" s="3"/>
      <c r="K56" s="3"/>
      <c r="L56" s="27"/>
      <c r="M56" s="28" t="str">
        <f aca="false">IF(E56="","",COUNT($E$5:E56))</f>
        <v/>
      </c>
      <c r="N56" s="28" t="str">
        <f aca="false">IF(F56="","",COUNT($F$5:F56))</f>
        <v/>
      </c>
      <c r="O56" s="28" t="str">
        <f aca="false">IF(H56="","",COUNT($H$5:H56))</f>
        <v/>
      </c>
    </row>
    <row r="57" customFormat="false" ht="15" hidden="false" customHeight="false" outlineLevel="0" collapsed="false">
      <c r="A57" s="26"/>
      <c r="B57" s="7" t="str">
        <f aca="false">IF(A57="","",INT((A57-'Tableau de bord'!$C$6)/7)+1)</f>
        <v/>
      </c>
      <c r="C57" s="3"/>
      <c r="D57" s="3"/>
      <c r="E57" s="3"/>
      <c r="F57" s="3"/>
      <c r="G57" s="3"/>
      <c r="H57" s="3"/>
      <c r="I57" s="3"/>
      <c r="J57" s="3"/>
      <c r="K57" s="3"/>
      <c r="L57" s="27"/>
      <c r="M57" s="28" t="str">
        <f aca="false">IF(E57="","",COUNT($E$5:E57))</f>
        <v/>
      </c>
      <c r="N57" s="28" t="str">
        <f aca="false">IF(F57="","",COUNT($F$5:F57))</f>
        <v/>
      </c>
      <c r="O57" s="28" t="str">
        <f aca="false">IF(H57="","",COUNT($H$5:H57))</f>
        <v/>
      </c>
    </row>
    <row r="58" customFormat="false" ht="15" hidden="false" customHeight="false" outlineLevel="0" collapsed="false">
      <c r="A58" s="26"/>
      <c r="B58" s="7" t="str">
        <f aca="false">IF(A58="","",INT((A58-'Tableau de bord'!$C$6)/7)+1)</f>
        <v/>
      </c>
      <c r="C58" s="3"/>
      <c r="D58" s="3"/>
      <c r="E58" s="3"/>
      <c r="F58" s="3"/>
      <c r="G58" s="3"/>
      <c r="H58" s="3"/>
      <c r="I58" s="3"/>
      <c r="J58" s="3"/>
      <c r="K58" s="3"/>
      <c r="L58" s="27"/>
      <c r="M58" s="28" t="str">
        <f aca="false">IF(E58="","",COUNT($E$5:E58))</f>
        <v/>
      </c>
      <c r="N58" s="28" t="str">
        <f aca="false">IF(F58="","",COUNT($F$5:F58))</f>
        <v/>
      </c>
      <c r="O58" s="28" t="str">
        <f aca="false">IF(H58="","",COUNT($H$5:H58))</f>
        <v/>
      </c>
    </row>
    <row r="59" customFormat="false" ht="15" hidden="false" customHeight="false" outlineLevel="0" collapsed="false">
      <c r="A59" s="26"/>
      <c r="B59" s="7" t="str">
        <f aca="false">IF(A59="","",INT((A59-'Tableau de bord'!$C$6)/7)+1)</f>
        <v/>
      </c>
      <c r="C59" s="3"/>
      <c r="D59" s="3"/>
      <c r="E59" s="3"/>
      <c r="F59" s="3"/>
      <c r="G59" s="3"/>
      <c r="H59" s="3"/>
      <c r="I59" s="3"/>
      <c r="J59" s="3"/>
      <c r="K59" s="3"/>
      <c r="L59" s="27"/>
      <c r="M59" s="28" t="str">
        <f aca="false">IF(E59="","",COUNT($E$5:E59))</f>
        <v/>
      </c>
      <c r="N59" s="28" t="str">
        <f aca="false">IF(F59="","",COUNT($F$5:F59))</f>
        <v/>
      </c>
      <c r="O59" s="28" t="str">
        <f aca="false">IF(H59="","",COUNT($H$5:H59))</f>
        <v/>
      </c>
    </row>
    <row r="60" customFormat="false" ht="15" hidden="false" customHeight="false" outlineLevel="0" collapsed="false">
      <c r="A60" s="26"/>
      <c r="B60" s="7" t="str">
        <f aca="false">IF(A60="","",INT((A60-'Tableau de bord'!$C$6)/7)+1)</f>
        <v/>
      </c>
      <c r="C60" s="3"/>
      <c r="D60" s="3"/>
      <c r="E60" s="3"/>
      <c r="F60" s="3"/>
      <c r="G60" s="3"/>
      <c r="H60" s="3"/>
      <c r="I60" s="3"/>
      <c r="J60" s="3"/>
      <c r="K60" s="3"/>
      <c r="L60" s="27"/>
      <c r="M60" s="28" t="str">
        <f aca="false">IF(E60="","",COUNT($E$5:E60))</f>
        <v/>
      </c>
      <c r="N60" s="28" t="str">
        <f aca="false">IF(F60="","",COUNT($F$5:F60))</f>
        <v/>
      </c>
      <c r="O60" s="28" t="str">
        <f aca="false">IF(H60="","",COUNT($H$5:H60))</f>
        <v/>
      </c>
    </row>
    <row r="61" customFormat="false" ht="15" hidden="false" customHeight="false" outlineLevel="0" collapsed="false">
      <c r="A61" s="26"/>
      <c r="B61" s="7" t="str">
        <f aca="false">IF(A61="","",INT((A61-'Tableau de bord'!$C$6)/7)+1)</f>
        <v/>
      </c>
      <c r="C61" s="3"/>
      <c r="D61" s="3"/>
      <c r="E61" s="3"/>
      <c r="F61" s="3"/>
      <c r="G61" s="3"/>
      <c r="H61" s="3"/>
      <c r="I61" s="3"/>
      <c r="J61" s="3"/>
      <c r="K61" s="3"/>
      <c r="L61" s="27"/>
      <c r="M61" s="28" t="str">
        <f aca="false">IF(E61="","",COUNT($E$5:E61))</f>
        <v/>
      </c>
      <c r="N61" s="28" t="str">
        <f aca="false">IF(F61="","",COUNT($F$5:F61))</f>
        <v/>
      </c>
      <c r="O61" s="28" t="str">
        <f aca="false">IF(H61="","",COUNT($H$5:H61))</f>
        <v/>
      </c>
    </row>
    <row r="62" customFormat="false" ht="15" hidden="false" customHeight="false" outlineLevel="0" collapsed="false">
      <c r="A62" s="26"/>
      <c r="B62" s="7" t="str">
        <f aca="false">IF(A62="","",INT((A62-'Tableau de bord'!$C$6)/7)+1)</f>
        <v/>
      </c>
      <c r="C62" s="3"/>
      <c r="D62" s="3"/>
      <c r="E62" s="3"/>
      <c r="F62" s="3"/>
      <c r="G62" s="3"/>
      <c r="H62" s="3"/>
      <c r="I62" s="3"/>
      <c r="J62" s="3"/>
      <c r="K62" s="3"/>
      <c r="L62" s="27"/>
      <c r="M62" s="28" t="str">
        <f aca="false">IF(E62="","",COUNT($E$5:E62))</f>
        <v/>
      </c>
      <c r="N62" s="28" t="str">
        <f aca="false">IF(F62="","",COUNT($F$5:F62))</f>
        <v/>
      </c>
      <c r="O62" s="28" t="str">
        <f aca="false">IF(H62="","",COUNT($H$5:H62))</f>
        <v/>
      </c>
    </row>
    <row r="63" customFormat="false" ht="15" hidden="false" customHeight="false" outlineLevel="0" collapsed="false">
      <c r="A63" s="26"/>
      <c r="B63" s="7" t="str">
        <f aca="false">IF(A63="","",INT((A63-'Tableau de bord'!$C$6)/7)+1)</f>
        <v/>
      </c>
      <c r="C63" s="3"/>
      <c r="D63" s="3"/>
      <c r="E63" s="3"/>
      <c r="F63" s="3"/>
      <c r="G63" s="3"/>
      <c r="H63" s="3"/>
      <c r="I63" s="3"/>
      <c r="J63" s="3"/>
      <c r="K63" s="3"/>
      <c r="L63" s="27"/>
      <c r="M63" s="28" t="str">
        <f aca="false">IF(E63="","",COUNT($E$5:E63))</f>
        <v/>
      </c>
      <c r="N63" s="28" t="str">
        <f aca="false">IF(F63="","",COUNT($F$5:F63))</f>
        <v/>
      </c>
      <c r="O63" s="28" t="str">
        <f aca="false">IF(H63="","",COUNT($H$5:H63))</f>
        <v/>
      </c>
    </row>
    <row r="64" customFormat="false" ht="15" hidden="false" customHeight="false" outlineLevel="0" collapsed="false">
      <c r="A64" s="26"/>
      <c r="B64" s="7" t="str">
        <f aca="false">IF(A64="","",INT((A64-'Tableau de bord'!$C$6)/7)+1)</f>
        <v/>
      </c>
      <c r="C64" s="3"/>
      <c r="D64" s="3"/>
      <c r="E64" s="3"/>
      <c r="F64" s="3"/>
      <c r="G64" s="3"/>
      <c r="H64" s="3"/>
      <c r="I64" s="3"/>
      <c r="J64" s="3"/>
      <c r="K64" s="3"/>
      <c r="L64" s="27"/>
      <c r="M64" s="28" t="str">
        <f aca="false">IF(E64="","",COUNT($E$5:E64))</f>
        <v/>
      </c>
      <c r="N64" s="28" t="str">
        <f aca="false">IF(F64="","",COUNT($F$5:F64))</f>
        <v/>
      </c>
      <c r="O64" s="28" t="str">
        <f aca="false">IF(H64="","",COUNT($H$5:H64))</f>
        <v/>
      </c>
    </row>
    <row r="65" customFormat="false" ht="15" hidden="false" customHeight="false" outlineLevel="0" collapsed="false">
      <c r="A65" s="26"/>
      <c r="B65" s="7" t="str">
        <f aca="false">IF(A65="","",INT((A65-'Tableau de bord'!$C$6)/7)+1)</f>
        <v/>
      </c>
      <c r="C65" s="3"/>
      <c r="D65" s="3"/>
      <c r="E65" s="3"/>
      <c r="F65" s="3"/>
      <c r="G65" s="3"/>
      <c r="H65" s="3"/>
      <c r="I65" s="3"/>
      <c r="J65" s="3"/>
      <c r="K65" s="3"/>
      <c r="L65" s="27"/>
      <c r="M65" s="28" t="str">
        <f aca="false">IF(E65="","",COUNT($E$5:E65))</f>
        <v/>
      </c>
      <c r="N65" s="28" t="str">
        <f aca="false">IF(F65="","",COUNT($F$5:F65))</f>
        <v/>
      </c>
      <c r="O65" s="28" t="str">
        <f aca="false">IF(H65="","",COUNT($H$5:H65))</f>
        <v/>
      </c>
    </row>
    <row r="66" customFormat="false" ht="15" hidden="false" customHeight="false" outlineLevel="0" collapsed="false">
      <c r="A66" s="26"/>
      <c r="B66" s="7" t="str">
        <f aca="false">IF(A66="","",INT((A66-'Tableau de bord'!$C$6)/7)+1)</f>
        <v/>
      </c>
      <c r="C66" s="3"/>
      <c r="D66" s="3"/>
      <c r="E66" s="3"/>
      <c r="F66" s="3"/>
      <c r="G66" s="3"/>
      <c r="H66" s="3"/>
      <c r="I66" s="3"/>
      <c r="J66" s="3"/>
      <c r="K66" s="3"/>
      <c r="L66" s="27"/>
      <c r="M66" s="28" t="str">
        <f aca="false">IF(E66="","",COUNT($E$5:E66))</f>
        <v/>
      </c>
      <c r="N66" s="28" t="str">
        <f aca="false">IF(F66="","",COUNT($F$5:F66))</f>
        <v/>
      </c>
      <c r="O66" s="28" t="str">
        <f aca="false">IF(H66="","",COUNT($H$5:H66))</f>
        <v/>
      </c>
    </row>
    <row r="67" customFormat="false" ht="15" hidden="false" customHeight="false" outlineLevel="0" collapsed="false">
      <c r="A67" s="26"/>
      <c r="B67" s="7" t="str">
        <f aca="false">IF(A67="","",INT((A67-'Tableau de bord'!$C$6)/7)+1)</f>
        <v/>
      </c>
      <c r="C67" s="3"/>
      <c r="D67" s="3"/>
      <c r="E67" s="3"/>
      <c r="F67" s="3"/>
      <c r="G67" s="3"/>
      <c r="H67" s="3"/>
      <c r="I67" s="3"/>
      <c r="J67" s="3"/>
      <c r="K67" s="3"/>
      <c r="L67" s="27"/>
      <c r="M67" s="28" t="str">
        <f aca="false">IF(E67="","",COUNT($E$5:E67))</f>
        <v/>
      </c>
      <c r="N67" s="28" t="str">
        <f aca="false">IF(F67="","",COUNT($F$5:F67))</f>
        <v/>
      </c>
      <c r="O67" s="28" t="str">
        <f aca="false">IF(H67="","",COUNT($H$5:H67))</f>
        <v/>
      </c>
    </row>
    <row r="68" customFormat="false" ht="15" hidden="false" customHeight="false" outlineLevel="0" collapsed="false">
      <c r="A68" s="26"/>
      <c r="B68" s="7" t="str">
        <f aca="false">IF(A68="","",INT((A68-'Tableau de bord'!$C$6)/7)+1)</f>
        <v/>
      </c>
      <c r="C68" s="3"/>
      <c r="D68" s="3"/>
      <c r="E68" s="3"/>
      <c r="F68" s="3"/>
      <c r="G68" s="3"/>
      <c r="H68" s="3"/>
      <c r="I68" s="3"/>
      <c r="J68" s="3"/>
      <c r="K68" s="3"/>
      <c r="L68" s="27"/>
      <c r="M68" s="28" t="str">
        <f aca="false">IF(E68="","",COUNT($E$5:E68))</f>
        <v/>
      </c>
      <c r="N68" s="28" t="str">
        <f aca="false">IF(F68="","",COUNT($F$5:F68))</f>
        <v/>
      </c>
      <c r="O68" s="28" t="str">
        <f aca="false">IF(H68="","",COUNT($H$5:H68))</f>
        <v/>
      </c>
    </row>
    <row r="69" customFormat="false" ht="15" hidden="false" customHeight="false" outlineLevel="0" collapsed="false">
      <c r="A69" s="26"/>
      <c r="B69" s="7" t="str">
        <f aca="false">IF(A69="","",INT((A69-'Tableau de bord'!$C$6)/7)+1)</f>
        <v/>
      </c>
      <c r="C69" s="3"/>
      <c r="D69" s="3"/>
      <c r="E69" s="3"/>
      <c r="F69" s="3"/>
      <c r="G69" s="3"/>
      <c r="H69" s="3"/>
      <c r="I69" s="3"/>
      <c r="J69" s="3"/>
      <c r="K69" s="3"/>
      <c r="L69" s="27"/>
      <c r="M69" s="28" t="str">
        <f aca="false">IF(E69="","",COUNT($E$5:E69))</f>
        <v/>
      </c>
      <c r="N69" s="28" t="str">
        <f aca="false">IF(F69="","",COUNT($F$5:F69))</f>
        <v/>
      </c>
      <c r="O69" s="28" t="str">
        <f aca="false">IF(H69="","",COUNT($H$5:H69))</f>
        <v/>
      </c>
    </row>
    <row r="70" customFormat="false" ht="15" hidden="false" customHeight="false" outlineLevel="0" collapsed="false">
      <c r="A70" s="26"/>
      <c r="B70" s="7" t="str">
        <f aca="false">IF(A70="","",INT((A70-'Tableau de bord'!$C$6)/7)+1)</f>
        <v/>
      </c>
      <c r="C70" s="3"/>
      <c r="D70" s="3"/>
      <c r="E70" s="3"/>
      <c r="F70" s="3"/>
      <c r="G70" s="3"/>
      <c r="H70" s="3"/>
      <c r="I70" s="3"/>
      <c r="J70" s="3"/>
      <c r="K70" s="3"/>
      <c r="L70" s="27"/>
      <c r="M70" s="28" t="str">
        <f aca="false">IF(E70="","",COUNT($E$5:E70))</f>
        <v/>
      </c>
      <c r="N70" s="28" t="str">
        <f aca="false">IF(F70="","",COUNT($F$5:F70))</f>
        <v/>
      </c>
      <c r="O70" s="28" t="str">
        <f aca="false">IF(H70="","",COUNT($H$5:H70))</f>
        <v/>
      </c>
    </row>
    <row r="71" customFormat="false" ht="15" hidden="false" customHeight="false" outlineLevel="0" collapsed="false">
      <c r="A71" s="26"/>
      <c r="B71" s="7" t="str">
        <f aca="false">IF(A71="","",INT((A71-'Tableau de bord'!$C$6)/7)+1)</f>
        <v/>
      </c>
      <c r="C71" s="3"/>
      <c r="D71" s="3"/>
      <c r="E71" s="3"/>
      <c r="F71" s="3"/>
      <c r="G71" s="3"/>
      <c r="H71" s="3"/>
      <c r="I71" s="3"/>
      <c r="J71" s="3"/>
      <c r="K71" s="3"/>
      <c r="L71" s="27"/>
      <c r="M71" s="28" t="str">
        <f aca="false">IF(E71="","",COUNT($E$5:E71))</f>
        <v/>
      </c>
      <c r="N71" s="28" t="str">
        <f aca="false">IF(F71="","",COUNT($F$5:F71))</f>
        <v/>
      </c>
      <c r="O71" s="28" t="str">
        <f aca="false">IF(H71="","",COUNT($H$5:H71))</f>
        <v/>
      </c>
    </row>
    <row r="72" customFormat="false" ht="15" hidden="false" customHeight="false" outlineLevel="0" collapsed="false">
      <c r="A72" s="26"/>
      <c r="B72" s="7" t="str">
        <f aca="false">IF(A72="","",INT((A72-'Tableau de bord'!$C$6)/7)+1)</f>
        <v/>
      </c>
      <c r="C72" s="3"/>
      <c r="D72" s="3"/>
      <c r="E72" s="3"/>
      <c r="F72" s="3"/>
      <c r="G72" s="3"/>
      <c r="H72" s="3"/>
      <c r="I72" s="3"/>
      <c r="J72" s="3"/>
      <c r="K72" s="3"/>
      <c r="L72" s="27"/>
      <c r="M72" s="28" t="str">
        <f aca="false">IF(E72="","",COUNT($E$5:E72))</f>
        <v/>
      </c>
      <c r="N72" s="28" t="str">
        <f aca="false">IF(F72="","",COUNT($F$5:F72))</f>
        <v/>
      </c>
      <c r="O72" s="28" t="str">
        <f aca="false">IF(H72="","",COUNT($H$5:H72))</f>
        <v/>
      </c>
    </row>
    <row r="73" customFormat="false" ht="15" hidden="false" customHeight="false" outlineLevel="0" collapsed="false">
      <c r="A73" s="26"/>
      <c r="B73" s="7" t="str">
        <f aca="false">IF(A73="","",INT((A73-'Tableau de bord'!$C$6)/7)+1)</f>
        <v/>
      </c>
      <c r="C73" s="3"/>
      <c r="D73" s="3"/>
      <c r="E73" s="3"/>
      <c r="F73" s="3"/>
      <c r="G73" s="3"/>
      <c r="H73" s="3"/>
      <c r="I73" s="3"/>
      <c r="J73" s="3"/>
      <c r="K73" s="3"/>
      <c r="L73" s="27"/>
      <c r="M73" s="28" t="str">
        <f aca="false">IF(E73="","",COUNT($E$5:E73))</f>
        <v/>
      </c>
      <c r="N73" s="28" t="str">
        <f aca="false">IF(F73="","",COUNT($F$5:F73))</f>
        <v/>
      </c>
      <c r="O73" s="28" t="str">
        <f aca="false">IF(H73="","",COUNT($H$5:H73))</f>
        <v/>
      </c>
    </row>
    <row r="74" customFormat="false" ht="15" hidden="false" customHeight="false" outlineLevel="0" collapsed="false">
      <c r="A74" s="26"/>
      <c r="B74" s="7" t="str">
        <f aca="false">IF(A74="","",INT((A74-'Tableau de bord'!$C$6)/7)+1)</f>
        <v/>
      </c>
      <c r="C74" s="3"/>
      <c r="D74" s="3"/>
      <c r="E74" s="3"/>
      <c r="F74" s="3"/>
      <c r="G74" s="3"/>
      <c r="H74" s="3"/>
      <c r="I74" s="3"/>
      <c r="J74" s="3"/>
      <c r="K74" s="3"/>
      <c r="L74" s="27"/>
      <c r="M74" s="28" t="str">
        <f aca="false">IF(E74="","",COUNT($E$5:E74))</f>
        <v/>
      </c>
      <c r="N74" s="28" t="str">
        <f aca="false">IF(F74="","",COUNT($F$5:F74))</f>
        <v/>
      </c>
      <c r="O74" s="28" t="str">
        <f aca="false">IF(H74="","",COUNT($H$5:H74))</f>
        <v/>
      </c>
    </row>
    <row r="75" customFormat="false" ht="15" hidden="false" customHeight="false" outlineLevel="0" collapsed="false">
      <c r="A75" s="26"/>
      <c r="B75" s="7" t="str">
        <f aca="false">IF(A75="","",INT((A75-'Tableau de bord'!$C$6)/7)+1)</f>
        <v/>
      </c>
      <c r="C75" s="3"/>
      <c r="D75" s="3"/>
      <c r="E75" s="3"/>
      <c r="F75" s="3"/>
      <c r="G75" s="3"/>
      <c r="H75" s="3"/>
      <c r="I75" s="3"/>
      <c r="J75" s="3"/>
      <c r="K75" s="3"/>
      <c r="L75" s="27"/>
      <c r="M75" s="28" t="str">
        <f aca="false">IF(E75="","",COUNT($E$5:E75))</f>
        <v/>
      </c>
      <c r="N75" s="28" t="str">
        <f aca="false">IF(F75="","",COUNT($F$5:F75))</f>
        <v/>
      </c>
      <c r="O75" s="28" t="str">
        <f aca="false">IF(H75="","",COUNT($H$5:H75))</f>
        <v/>
      </c>
    </row>
    <row r="76" customFormat="false" ht="15" hidden="false" customHeight="false" outlineLevel="0" collapsed="false">
      <c r="A76" s="26"/>
      <c r="B76" s="7" t="str">
        <f aca="false">IF(A76="","",INT((A76-'Tableau de bord'!$C$6)/7)+1)</f>
        <v/>
      </c>
      <c r="C76" s="3"/>
      <c r="D76" s="3"/>
      <c r="E76" s="3"/>
      <c r="F76" s="3"/>
      <c r="G76" s="3"/>
      <c r="H76" s="3"/>
      <c r="I76" s="3"/>
      <c r="J76" s="3"/>
      <c r="K76" s="3"/>
      <c r="L76" s="27"/>
      <c r="M76" s="28" t="str">
        <f aca="false">IF(E76="","",COUNT($E$5:E76))</f>
        <v/>
      </c>
      <c r="N76" s="28" t="str">
        <f aca="false">IF(F76="","",COUNT($F$5:F76))</f>
        <v/>
      </c>
      <c r="O76" s="28" t="str">
        <f aca="false">IF(H76="","",COUNT($H$5:H76))</f>
        <v/>
      </c>
    </row>
    <row r="77" customFormat="false" ht="15" hidden="false" customHeight="false" outlineLevel="0" collapsed="false">
      <c r="A77" s="26"/>
      <c r="B77" s="7" t="str">
        <f aca="false">IF(A77="","",INT((A77-'Tableau de bord'!$C$6)/7)+1)</f>
        <v/>
      </c>
      <c r="C77" s="3"/>
      <c r="D77" s="3"/>
      <c r="E77" s="3"/>
      <c r="F77" s="3"/>
      <c r="G77" s="3"/>
      <c r="H77" s="3"/>
      <c r="I77" s="3"/>
      <c r="J77" s="3"/>
      <c r="K77" s="3"/>
      <c r="L77" s="27"/>
      <c r="M77" s="28" t="str">
        <f aca="false">IF(E77="","",COUNT($E$5:E77))</f>
        <v/>
      </c>
      <c r="N77" s="28" t="str">
        <f aca="false">IF(F77="","",COUNT($F$5:F77))</f>
        <v/>
      </c>
      <c r="O77" s="28" t="str">
        <f aca="false">IF(H77="","",COUNT($H$5:H77))</f>
        <v/>
      </c>
    </row>
    <row r="78" customFormat="false" ht="15" hidden="false" customHeight="false" outlineLevel="0" collapsed="false">
      <c r="A78" s="26"/>
      <c r="B78" s="7" t="str">
        <f aca="false">IF(A78="","",INT((A78-'Tableau de bord'!$C$6)/7)+1)</f>
        <v/>
      </c>
      <c r="C78" s="3"/>
      <c r="D78" s="3"/>
      <c r="E78" s="3"/>
      <c r="F78" s="3"/>
      <c r="G78" s="3"/>
      <c r="H78" s="3"/>
      <c r="I78" s="3"/>
      <c r="J78" s="3"/>
      <c r="K78" s="3"/>
      <c r="L78" s="27"/>
      <c r="M78" s="28" t="str">
        <f aca="false">IF(E78="","",COUNT($E$5:E78))</f>
        <v/>
      </c>
      <c r="N78" s="28" t="str">
        <f aca="false">IF(F78="","",COUNT($F$5:F78))</f>
        <v/>
      </c>
      <c r="O78" s="28" t="str">
        <f aca="false">IF(H78="","",COUNT($H$5:H78))</f>
        <v/>
      </c>
    </row>
    <row r="79" customFormat="false" ht="15" hidden="false" customHeight="false" outlineLevel="0" collapsed="false">
      <c r="A79" s="26"/>
      <c r="B79" s="7" t="str">
        <f aca="false">IF(A79="","",INT((A79-'Tableau de bord'!$C$6)/7)+1)</f>
        <v/>
      </c>
      <c r="C79" s="3"/>
      <c r="D79" s="3"/>
      <c r="E79" s="3"/>
      <c r="F79" s="3"/>
      <c r="G79" s="3"/>
      <c r="H79" s="3"/>
      <c r="I79" s="3"/>
      <c r="J79" s="3"/>
      <c r="K79" s="3"/>
      <c r="L79" s="27"/>
      <c r="M79" s="28" t="str">
        <f aca="false">IF(E79="","",COUNT($E$5:E79))</f>
        <v/>
      </c>
      <c r="N79" s="28" t="str">
        <f aca="false">IF(F79="","",COUNT($F$5:F79))</f>
        <v/>
      </c>
      <c r="O79" s="28" t="str">
        <f aca="false">IF(H79="","",COUNT($H$5:H79))</f>
        <v/>
      </c>
    </row>
    <row r="80" customFormat="false" ht="15" hidden="false" customHeight="false" outlineLevel="0" collapsed="false">
      <c r="A80" s="26"/>
      <c r="B80" s="7" t="str">
        <f aca="false">IF(A80="","",INT((A80-'Tableau de bord'!$C$6)/7)+1)</f>
        <v/>
      </c>
      <c r="C80" s="3"/>
      <c r="D80" s="3"/>
      <c r="E80" s="3"/>
      <c r="F80" s="3"/>
      <c r="G80" s="3"/>
      <c r="H80" s="3"/>
      <c r="I80" s="3"/>
      <c r="J80" s="3"/>
      <c r="K80" s="3"/>
      <c r="L80" s="27"/>
      <c r="M80" s="28" t="str">
        <f aca="false">IF(E80="","",COUNT($E$5:E80))</f>
        <v/>
      </c>
      <c r="N80" s="28" t="str">
        <f aca="false">IF(F80="","",COUNT($F$5:F80))</f>
        <v/>
      </c>
      <c r="O80" s="28" t="str">
        <f aca="false">IF(H80="","",COUNT($H$5:H80))</f>
        <v/>
      </c>
    </row>
    <row r="81" customFormat="false" ht="15" hidden="false" customHeight="false" outlineLevel="0" collapsed="false">
      <c r="A81" s="26"/>
      <c r="B81" s="7" t="str">
        <f aca="false">IF(A81="","",INT((A81-'Tableau de bord'!$C$6)/7)+1)</f>
        <v/>
      </c>
      <c r="C81" s="3"/>
      <c r="D81" s="3"/>
      <c r="E81" s="3"/>
      <c r="F81" s="3"/>
      <c r="G81" s="3"/>
      <c r="H81" s="3"/>
      <c r="I81" s="3"/>
      <c r="J81" s="3"/>
      <c r="K81" s="3"/>
      <c r="L81" s="27"/>
      <c r="M81" s="28" t="str">
        <f aca="false">IF(E81="","",COUNT($E$5:E81))</f>
        <v/>
      </c>
      <c r="N81" s="28" t="str">
        <f aca="false">IF(F81="","",COUNT($F$5:F81))</f>
        <v/>
      </c>
      <c r="O81" s="28" t="str">
        <f aca="false">IF(H81="","",COUNT($H$5:H81))</f>
        <v/>
      </c>
    </row>
    <row r="82" customFormat="false" ht="15" hidden="false" customHeight="false" outlineLevel="0" collapsed="false">
      <c r="A82" s="26"/>
      <c r="B82" s="7" t="str">
        <f aca="false">IF(A82="","",INT((A82-'Tableau de bord'!$C$6)/7)+1)</f>
        <v/>
      </c>
      <c r="C82" s="3"/>
      <c r="D82" s="3"/>
      <c r="E82" s="3"/>
      <c r="F82" s="3"/>
      <c r="G82" s="3"/>
      <c r="H82" s="3"/>
      <c r="I82" s="3"/>
      <c r="J82" s="3"/>
      <c r="K82" s="3"/>
      <c r="L82" s="27"/>
      <c r="M82" s="28" t="str">
        <f aca="false">IF(E82="","",COUNT($E$5:E82))</f>
        <v/>
      </c>
      <c r="N82" s="28" t="str">
        <f aca="false">IF(F82="","",COUNT($F$5:F82))</f>
        <v/>
      </c>
      <c r="O82" s="28" t="str">
        <f aca="false">IF(H82="","",COUNT($H$5:H82))</f>
        <v/>
      </c>
    </row>
    <row r="83" customFormat="false" ht="15" hidden="false" customHeight="false" outlineLevel="0" collapsed="false">
      <c r="A83" s="26"/>
      <c r="B83" s="7" t="str">
        <f aca="false">IF(A83="","",INT((A83-'Tableau de bord'!$C$6)/7)+1)</f>
        <v/>
      </c>
      <c r="C83" s="3"/>
      <c r="D83" s="3"/>
      <c r="E83" s="3"/>
      <c r="F83" s="3"/>
      <c r="G83" s="3"/>
      <c r="H83" s="3"/>
      <c r="I83" s="3"/>
      <c r="J83" s="3"/>
      <c r="K83" s="3"/>
      <c r="L83" s="27"/>
      <c r="M83" s="28" t="str">
        <f aca="false">IF(E83="","",COUNT($E$5:E83))</f>
        <v/>
      </c>
      <c r="N83" s="28" t="str">
        <f aca="false">IF(F83="","",COUNT($F$5:F83))</f>
        <v/>
      </c>
      <c r="O83" s="28" t="str">
        <f aca="false">IF(H83="","",COUNT($H$5:H83))</f>
        <v/>
      </c>
    </row>
    <row r="84" customFormat="false" ht="15" hidden="false" customHeight="false" outlineLevel="0" collapsed="false">
      <c r="A84" s="26"/>
      <c r="B84" s="7" t="str">
        <f aca="false">IF(A84="","",INT((A84-'Tableau de bord'!$C$6)/7)+1)</f>
        <v/>
      </c>
      <c r="C84" s="3"/>
      <c r="D84" s="3"/>
      <c r="E84" s="3"/>
      <c r="F84" s="3"/>
      <c r="G84" s="3"/>
      <c r="H84" s="3"/>
      <c r="I84" s="3"/>
      <c r="J84" s="3"/>
      <c r="K84" s="3"/>
      <c r="L84" s="27"/>
      <c r="M84" s="28" t="str">
        <f aca="false">IF(E84="","",COUNT($E$5:E84))</f>
        <v/>
      </c>
      <c r="N84" s="28" t="str">
        <f aca="false">IF(F84="","",COUNT($F$5:F84))</f>
        <v/>
      </c>
      <c r="O84" s="28" t="str">
        <f aca="false">IF(H84="","",COUNT($H$5:H84))</f>
        <v/>
      </c>
    </row>
    <row r="85" customFormat="false" ht="15" hidden="false" customHeight="false" outlineLevel="0" collapsed="false">
      <c r="A85" s="26"/>
      <c r="B85" s="7" t="str">
        <f aca="false">IF(A85="","",INT((A85-'Tableau de bord'!$C$6)/7)+1)</f>
        <v/>
      </c>
      <c r="C85" s="3"/>
      <c r="D85" s="3"/>
      <c r="E85" s="3"/>
      <c r="F85" s="3"/>
      <c r="G85" s="3"/>
      <c r="H85" s="3"/>
      <c r="I85" s="3"/>
      <c r="J85" s="3"/>
      <c r="K85" s="3"/>
      <c r="L85" s="27"/>
      <c r="M85" s="28" t="str">
        <f aca="false">IF(E85="","",COUNT($E$5:E85))</f>
        <v/>
      </c>
      <c r="N85" s="28" t="str">
        <f aca="false">IF(F85="","",COUNT($F$5:F85))</f>
        <v/>
      </c>
      <c r="O85" s="28" t="str">
        <f aca="false">IF(H85="","",COUNT($H$5:H85))</f>
        <v/>
      </c>
    </row>
    <row r="86" customFormat="false" ht="15" hidden="false" customHeight="false" outlineLevel="0" collapsed="false">
      <c r="A86" s="26"/>
      <c r="B86" s="7" t="str">
        <f aca="false">IF(A86="","",INT((A86-'Tableau de bord'!$C$6)/7)+1)</f>
        <v/>
      </c>
      <c r="C86" s="3"/>
      <c r="D86" s="3"/>
      <c r="E86" s="3"/>
      <c r="F86" s="3"/>
      <c r="G86" s="3"/>
      <c r="H86" s="3"/>
      <c r="I86" s="3"/>
      <c r="J86" s="3"/>
      <c r="K86" s="3"/>
      <c r="L86" s="27"/>
      <c r="M86" s="28" t="str">
        <f aca="false">IF(E86="","",COUNT($E$5:E86))</f>
        <v/>
      </c>
      <c r="N86" s="28" t="str">
        <f aca="false">IF(F86="","",COUNT($F$5:F86))</f>
        <v/>
      </c>
      <c r="O86" s="28" t="str">
        <f aca="false">IF(H86="","",COUNT($H$5:H86))</f>
        <v/>
      </c>
    </row>
    <row r="87" customFormat="false" ht="15" hidden="false" customHeight="false" outlineLevel="0" collapsed="false">
      <c r="A87" s="26"/>
      <c r="B87" s="7" t="str">
        <f aca="false">IF(A87="","",INT((A87-'Tableau de bord'!$C$6)/7)+1)</f>
        <v/>
      </c>
      <c r="C87" s="3"/>
      <c r="D87" s="3"/>
      <c r="E87" s="3"/>
      <c r="F87" s="3"/>
      <c r="G87" s="3"/>
      <c r="H87" s="3"/>
      <c r="I87" s="3"/>
      <c r="J87" s="3"/>
      <c r="K87" s="3"/>
      <c r="L87" s="27"/>
      <c r="M87" s="28" t="str">
        <f aca="false">IF(E87="","",COUNT($E$5:E87))</f>
        <v/>
      </c>
      <c r="N87" s="28" t="str">
        <f aca="false">IF(F87="","",COUNT($F$5:F87))</f>
        <v/>
      </c>
      <c r="O87" s="28" t="str">
        <f aca="false">IF(H87="","",COUNT($H$5:H87))</f>
        <v/>
      </c>
    </row>
    <row r="88" customFormat="false" ht="15" hidden="false" customHeight="false" outlineLevel="0" collapsed="false">
      <c r="A88" s="26"/>
      <c r="B88" s="7" t="str">
        <f aca="false">IF(A88="","",INT((A88-'Tableau de bord'!$C$6)/7)+1)</f>
        <v/>
      </c>
      <c r="C88" s="3"/>
      <c r="D88" s="3"/>
      <c r="E88" s="3"/>
      <c r="F88" s="3"/>
      <c r="G88" s="3"/>
      <c r="H88" s="3"/>
      <c r="I88" s="3"/>
      <c r="J88" s="3"/>
      <c r="K88" s="3"/>
      <c r="L88" s="27"/>
      <c r="M88" s="28" t="str">
        <f aca="false">IF(E88="","",COUNT($E$5:E88))</f>
        <v/>
      </c>
      <c r="N88" s="28" t="str">
        <f aca="false">IF(F88="","",COUNT($F$5:F88))</f>
        <v/>
      </c>
      <c r="O88" s="28" t="str">
        <f aca="false">IF(H88="","",COUNT($H$5:H88))</f>
        <v/>
      </c>
    </row>
    <row r="89" customFormat="false" ht="15" hidden="false" customHeight="false" outlineLevel="0" collapsed="false">
      <c r="A89" s="26"/>
      <c r="B89" s="7" t="str">
        <f aca="false">IF(A89="","",INT((A89-'Tableau de bord'!$C$6)/7)+1)</f>
        <v/>
      </c>
      <c r="C89" s="3"/>
      <c r="D89" s="3"/>
      <c r="E89" s="3"/>
      <c r="F89" s="3"/>
      <c r="G89" s="3"/>
      <c r="H89" s="3"/>
      <c r="I89" s="3"/>
      <c r="J89" s="3"/>
      <c r="K89" s="3"/>
      <c r="L89" s="27"/>
      <c r="M89" s="28" t="str">
        <f aca="false">IF(E89="","",COUNT($E$5:E89))</f>
        <v/>
      </c>
      <c r="N89" s="28" t="str">
        <f aca="false">IF(F89="","",COUNT($F$5:F89))</f>
        <v/>
      </c>
      <c r="O89" s="28" t="str">
        <f aca="false">IF(H89="","",COUNT($H$5:H89))</f>
        <v/>
      </c>
    </row>
    <row r="90" customFormat="false" ht="15" hidden="false" customHeight="false" outlineLevel="0" collapsed="false">
      <c r="A90" s="26"/>
      <c r="B90" s="7" t="str">
        <f aca="false">IF(A90="","",INT((A90-'Tableau de bord'!$C$6)/7)+1)</f>
        <v/>
      </c>
      <c r="C90" s="3"/>
      <c r="D90" s="3"/>
      <c r="E90" s="3"/>
      <c r="F90" s="3"/>
      <c r="G90" s="3"/>
      <c r="H90" s="3"/>
      <c r="I90" s="3"/>
      <c r="J90" s="3"/>
      <c r="K90" s="3"/>
      <c r="L90" s="27"/>
      <c r="M90" s="28" t="str">
        <f aca="false">IF(E90="","",COUNT($E$5:E90))</f>
        <v/>
      </c>
      <c r="N90" s="28" t="str">
        <f aca="false">IF(F90="","",COUNT($F$5:F90))</f>
        <v/>
      </c>
      <c r="O90" s="28" t="str">
        <f aca="false">IF(H90="","",COUNT($H$5:H90))</f>
        <v/>
      </c>
    </row>
    <row r="91" customFormat="false" ht="15" hidden="false" customHeight="false" outlineLevel="0" collapsed="false">
      <c r="A91" s="26"/>
      <c r="B91" s="7" t="str">
        <f aca="false">IF(A91="","",INT((A91-'Tableau de bord'!$C$6)/7)+1)</f>
        <v/>
      </c>
      <c r="C91" s="3"/>
      <c r="D91" s="3"/>
      <c r="E91" s="3"/>
      <c r="F91" s="3"/>
      <c r="G91" s="3"/>
      <c r="H91" s="3"/>
      <c r="I91" s="3"/>
      <c r="J91" s="3"/>
      <c r="K91" s="3"/>
      <c r="L91" s="27"/>
      <c r="M91" s="28" t="str">
        <f aca="false">IF(E91="","",COUNT($E$5:E91))</f>
        <v/>
      </c>
      <c r="N91" s="28" t="str">
        <f aca="false">IF(F91="","",COUNT($F$5:F91))</f>
        <v/>
      </c>
      <c r="O91" s="28" t="str">
        <f aca="false">IF(H91="","",COUNT($H$5:H91))</f>
        <v/>
      </c>
    </row>
    <row r="92" customFormat="false" ht="15" hidden="false" customHeight="false" outlineLevel="0" collapsed="false">
      <c r="A92" s="26"/>
      <c r="B92" s="7" t="str">
        <f aca="false">IF(A92="","",INT((A92-'Tableau de bord'!$C$6)/7)+1)</f>
        <v/>
      </c>
      <c r="C92" s="3"/>
      <c r="D92" s="3"/>
      <c r="E92" s="3"/>
      <c r="F92" s="3"/>
      <c r="G92" s="3"/>
      <c r="H92" s="3"/>
      <c r="I92" s="3"/>
      <c r="J92" s="3"/>
      <c r="K92" s="3"/>
      <c r="L92" s="27"/>
      <c r="M92" s="28" t="str">
        <f aca="false">IF(E92="","",COUNT($E$5:E92))</f>
        <v/>
      </c>
      <c r="N92" s="28" t="str">
        <f aca="false">IF(F92="","",COUNT($F$5:F92))</f>
        <v/>
      </c>
      <c r="O92" s="28" t="str">
        <f aca="false">IF(H92="","",COUNT($H$5:H92))</f>
        <v/>
      </c>
    </row>
    <row r="93" customFormat="false" ht="15" hidden="false" customHeight="false" outlineLevel="0" collapsed="false">
      <c r="A93" s="26"/>
      <c r="B93" s="7" t="str">
        <f aca="false">IF(A93="","",INT((A93-'Tableau de bord'!$C$6)/7)+1)</f>
        <v/>
      </c>
      <c r="C93" s="3"/>
      <c r="D93" s="3"/>
      <c r="E93" s="3"/>
      <c r="F93" s="3"/>
      <c r="G93" s="3"/>
      <c r="H93" s="3"/>
      <c r="I93" s="3"/>
      <c r="J93" s="3"/>
      <c r="K93" s="3"/>
      <c r="L93" s="27"/>
      <c r="M93" s="28" t="str">
        <f aca="false">IF(E93="","",COUNT($E$5:E93))</f>
        <v/>
      </c>
      <c r="N93" s="28" t="str">
        <f aca="false">IF(F93="","",COUNT($F$5:F93))</f>
        <v/>
      </c>
      <c r="O93" s="28" t="str">
        <f aca="false">IF(H93="","",COUNT($H$5:H93))</f>
        <v/>
      </c>
    </row>
    <row r="94" customFormat="false" ht="15" hidden="false" customHeight="false" outlineLevel="0" collapsed="false">
      <c r="A94" s="26"/>
      <c r="B94" s="7" t="str">
        <f aca="false">IF(A94="","",INT((A94-'Tableau de bord'!$C$6)/7)+1)</f>
        <v/>
      </c>
      <c r="C94" s="3"/>
      <c r="D94" s="3"/>
      <c r="E94" s="3"/>
      <c r="F94" s="3"/>
      <c r="G94" s="3"/>
      <c r="H94" s="3"/>
      <c r="I94" s="3"/>
      <c r="J94" s="3"/>
      <c r="K94" s="3"/>
      <c r="L94" s="27"/>
      <c r="M94" s="28" t="str">
        <f aca="false">IF(E94="","",COUNT($E$5:E94))</f>
        <v/>
      </c>
      <c r="N94" s="28" t="str">
        <f aca="false">IF(F94="","",COUNT($F$5:F94))</f>
        <v/>
      </c>
      <c r="O94" s="28" t="str">
        <f aca="false">IF(H94="","",COUNT($H$5:H94))</f>
        <v/>
      </c>
    </row>
    <row r="95" customFormat="false" ht="15" hidden="false" customHeight="false" outlineLevel="0" collapsed="false">
      <c r="A95" s="26"/>
      <c r="B95" s="7" t="str">
        <f aca="false">IF(A95="","",INT((A95-'Tableau de bord'!$C$6)/7)+1)</f>
        <v/>
      </c>
      <c r="C95" s="3"/>
      <c r="D95" s="3"/>
      <c r="E95" s="3"/>
      <c r="F95" s="3"/>
      <c r="G95" s="3"/>
      <c r="H95" s="3"/>
      <c r="I95" s="3"/>
      <c r="J95" s="3"/>
      <c r="K95" s="3"/>
      <c r="L95" s="27"/>
      <c r="M95" s="28" t="str">
        <f aca="false">IF(E95="","",COUNT($E$5:E95))</f>
        <v/>
      </c>
      <c r="N95" s="28" t="str">
        <f aca="false">IF(F95="","",COUNT($F$5:F95))</f>
        <v/>
      </c>
      <c r="O95" s="28" t="str">
        <f aca="false">IF(H95="","",COUNT($H$5:H95))</f>
        <v/>
      </c>
    </row>
    <row r="96" customFormat="false" ht="15" hidden="false" customHeight="false" outlineLevel="0" collapsed="false">
      <c r="A96" s="26"/>
      <c r="B96" s="7" t="str">
        <f aca="false">IF(A96="","",INT((A96-'Tableau de bord'!$C$6)/7)+1)</f>
        <v/>
      </c>
      <c r="C96" s="3"/>
      <c r="D96" s="3"/>
      <c r="E96" s="3"/>
      <c r="F96" s="3"/>
      <c r="G96" s="3"/>
      <c r="H96" s="3"/>
      <c r="I96" s="3"/>
      <c r="J96" s="3"/>
      <c r="K96" s="3"/>
      <c r="L96" s="27"/>
      <c r="M96" s="28" t="str">
        <f aca="false">IF(E96="","",COUNT($E$5:E96))</f>
        <v/>
      </c>
      <c r="N96" s="28" t="str">
        <f aca="false">IF(F96="","",COUNT($F$5:F96))</f>
        <v/>
      </c>
      <c r="O96" s="28" t="str">
        <f aca="false">IF(H96="","",COUNT($H$5:H96))</f>
        <v/>
      </c>
    </row>
    <row r="97" customFormat="false" ht="15" hidden="false" customHeight="false" outlineLevel="0" collapsed="false">
      <c r="A97" s="26"/>
      <c r="B97" s="7" t="str">
        <f aca="false">IF(A97="","",INT((A97-'Tableau de bord'!$C$6)/7)+1)</f>
        <v/>
      </c>
      <c r="C97" s="3"/>
      <c r="D97" s="3"/>
      <c r="E97" s="3"/>
      <c r="F97" s="3"/>
      <c r="G97" s="3"/>
      <c r="H97" s="3"/>
      <c r="I97" s="3"/>
      <c r="J97" s="3"/>
      <c r="K97" s="3"/>
      <c r="L97" s="27"/>
      <c r="M97" s="28" t="str">
        <f aca="false">IF(E97="","",COUNT($E$5:E97))</f>
        <v/>
      </c>
      <c r="N97" s="28" t="str">
        <f aca="false">IF(F97="","",COUNT($F$5:F97))</f>
        <v/>
      </c>
      <c r="O97" s="28" t="str">
        <f aca="false">IF(H97="","",COUNT($H$5:H97))</f>
        <v/>
      </c>
    </row>
    <row r="98" customFormat="false" ht="15" hidden="false" customHeight="false" outlineLevel="0" collapsed="false">
      <c r="A98" s="26"/>
      <c r="B98" s="7" t="str">
        <f aca="false">IF(A98="","",INT((A98-'Tableau de bord'!$C$6)/7)+1)</f>
        <v/>
      </c>
      <c r="C98" s="3"/>
      <c r="D98" s="3"/>
      <c r="E98" s="3"/>
      <c r="F98" s="3"/>
      <c r="G98" s="3"/>
      <c r="H98" s="3"/>
      <c r="I98" s="3"/>
      <c r="J98" s="3"/>
      <c r="K98" s="3"/>
      <c r="L98" s="27"/>
      <c r="M98" s="28" t="str">
        <f aca="false">IF(E98="","",COUNT($E$5:E98))</f>
        <v/>
      </c>
      <c r="N98" s="28" t="str">
        <f aca="false">IF(F98="","",COUNT($F$5:F98))</f>
        <v/>
      </c>
      <c r="O98" s="28" t="str">
        <f aca="false">IF(H98="","",COUNT($H$5:H98))</f>
        <v/>
      </c>
    </row>
    <row r="99" customFormat="false" ht="15" hidden="false" customHeight="false" outlineLevel="0" collapsed="false">
      <c r="A99" s="26"/>
      <c r="B99" s="7" t="str">
        <f aca="false">IF(A99="","",INT((A99-'Tableau de bord'!$C$6)/7)+1)</f>
        <v/>
      </c>
      <c r="C99" s="3"/>
      <c r="D99" s="3"/>
      <c r="E99" s="3"/>
      <c r="F99" s="3"/>
      <c r="G99" s="3"/>
      <c r="H99" s="3"/>
      <c r="I99" s="3"/>
      <c r="J99" s="3"/>
      <c r="K99" s="3"/>
      <c r="L99" s="27"/>
      <c r="M99" s="28" t="str">
        <f aca="false">IF(E99="","",COUNT($E$5:E99))</f>
        <v/>
      </c>
      <c r="N99" s="28" t="str">
        <f aca="false">IF(F99="","",COUNT($F$5:F99))</f>
        <v/>
      </c>
      <c r="O99" s="28" t="str">
        <f aca="false">IF(H99="","",COUNT($H$5:H99))</f>
        <v/>
      </c>
    </row>
    <row r="100" customFormat="false" ht="15" hidden="false" customHeight="false" outlineLevel="0" collapsed="false">
      <c r="A100" s="26"/>
      <c r="B100" s="7" t="str">
        <f aca="false">IF(A100="","",INT((A100-'Tableau de bord'!$C$6)/7)+1)</f>
        <v/>
      </c>
      <c r="C100" s="3"/>
      <c r="D100" s="3"/>
      <c r="E100" s="3"/>
      <c r="F100" s="3"/>
      <c r="G100" s="3"/>
      <c r="H100" s="3"/>
      <c r="I100" s="3"/>
      <c r="J100" s="3"/>
      <c r="K100" s="3"/>
      <c r="L100" s="27"/>
      <c r="M100" s="28" t="str">
        <f aca="false">IF(E100="","",COUNT($E$5:E100))</f>
        <v/>
      </c>
      <c r="N100" s="28" t="str">
        <f aca="false">IF(F100="","",COUNT($F$5:F100))</f>
        <v/>
      </c>
      <c r="O100" s="28" t="str">
        <f aca="false">IF(H100="","",COUNT($H$5:H100))</f>
        <v/>
      </c>
    </row>
    <row r="101" customFormat="false" ht="15" hidden="false" customHeight="false" outlineLevel="0" collapsed="false">
      <c r="A101" s="26"/>
      <c r="B101" s="7" t="str">
        <f aca="false">IF(A101="","",INT((A101-'Tableau de bord'!$C$6)/7)+1)</f>
        <v/>
      </c>
      <c r="C101" s="3"/>
      <c r="D101" s="3"/>
      <c r="E101" s="3"/>
      <c r="F101" s="3"/>
      <c r="G101" s="3"/>
      <c r="H101" s="3"/>
      <c r="I101" s="3"/>
      <c r="J101" s="3"/>
      <c r="K101" s="3"/>
      <c r="L101" s="27"/>
      <c r="M101" s="28" t="str">
        <f aca="false">IF(E101="","",COUNT($E$5:E101))</f>
        <v/>
      </c>
      <c r="N101" s="28" t="str">
        <f aca="false">IF(F101="","",COUNT($F$5:F101))</f>
        <v/>
      </c>
      <c r="O101" s="28" t="str">
        <f aca="false">IF(H101="","",COUNT($H$5:H101))</f>
        <v/>
      </c>
    </row>
    <row r="102" customFormat="false" ht="15" hidden="false" customHeight="false" outlineLevel="0" collapsed="false">
      <c r="A102" s="26"/>
      <c r="B102" s="7" t="str">
        <f aca="false">IF(A102="","",INT((A102-'Tableau de bord'!$C$6)/7)+1)</f>
        <v/>
      </c>
      <c r="C102" s="3"/>
      <c r="D102" s="3"/>
      <c r="E102" s="3"/>
      <c r="F102" s="3"/>
      <c r="G102" s="3"/>
      <c r="H102" s="3"/>
      <c r="I102" s="3"/>
      <c r="J102" s="3"/>
      <c r="K102" s="3"/>
      <c r="L102" s="27"/>
      <c r="M102" s="28" t="str">
        <f aca="false">IF(E102="","",COUNT($E$5:E102))</f>
        <v/>
      </c>
      <c r="N102" s="28" t="str">
        <f aca="false">IF(F102="","",COUNT($F$5:F102))</f>
        <v/>
      </c>
      <c r="O102" s="28" t="str">
        <f aca="false">IF(H102="","",COUNT($H$5:H102))</f>
        <v/>
      </c>
    </row>
    <row r="103" customFormat="false" ht="15" hidden="false" customHeight="false" outlineLevel="0" collapsed="false">
      <c r="A103" s="26"/>
      <c r="B103" s="7" t="str">
        <f aca="false">IF(A103="","",INT((A103-'Tableau de bord'!$C$6)/7)+1)</f>
        <v/>
      </c>
      <c r="C103" s="3"/>
      <c r="D103" s="3"/>
      <c r="E103" s="3"/>
      <c r="F103" s="3"/>
      <c r="G103" s="3"/>
      <c r="H103" s="3"/>
      <c r="I103" s="3"/>
      <c r="J103" s="3"/>
      <c r="K103" s="3"/>
      <c r="L103" s="27"/>
      <c r="M103" s="28" t="str">
        <f aca="false">IF(E103="","",COUNT($E$5:E103))</f>
        <v/>
      </c>
      <c r="N103" s="28" t="str">
        <f aca="false">IF(F103="","",COUNT($F$5:F103))</f>
        <v/>
      </c>
      <c r="O103" s="28" t="str">
        <f aca="false">IF(H103="","",COUNT($H$5:H103))</f>
        <v/>
      </c>
    </row>
    <row r="104" customFormat="false" ht="15" hidden="false" customHeight="false" outlineLevel="0" collapsed="false">
      <c r="A104" s="26"/>
      <c r="B104" s="7" t="str">
        <f aca="false">IF(A104="","",INT((A104-'Tableau de bord'!$C$6)/7)+1)</f>
        <v/>
      </c>
      <c r="C104" s="3"/>
      <c r="D104" s="3"/>
      <c r="E104" s="3"/>
      <c r="F104" s="3"/>
      <c r="G104" s="3"/>
      <c r="H104" s="3"/>
      <c r="I104" s="3"/>
      <c r="J104" s="3"/>
      <c r="K104" s="3"/>
      <c r="L104" s="27"/>
      <c r="M104" s="28" t="str">
        <f aca="false">IF(E104="","",COUNT($E$5:E104))</f>
        <v/>
      </c>
      <c r="N104" s="28" t="str">
        <f aca="false">IF(F104="","",COUNT($F$5:F104))</f>
        <v/>
      </c>
      <c r="O104" s="28" t="str">
        <f aca="false">IF(H104="","",COUNT($H$5:H104))</f>
        <v/>
      </c>
    </row>
    <row r="105" customFormat="false" ht="15" hidden="false" customHeight="false" outlineLevel="0" collapsed="false">
      <c r="A105" s="26"/>
      <c r="B105" s="7" t="str">
        <f aca="false">IF(A105="","",INT((A105-'Tableau de bord'!$C$6)/7)+1)</f>
        <v/>
      </c>
      <c r="C105" s="3"/>
      <c r="D105" s="3"/>
      <c r="E105" s="3"/>
      <c r="F105" s="3"/>
      <c r="G105" s="3"/>
      <c r="H105" s="3"/>
      <c r="I105" s="3"/>
      <c r="J105" s="3"/>
      <c r="K105" s="3"/>
      <c r="L105" s="27"/>
      <c r="M105" s="28" t="str">
        <f aca="false">IF(E105="","",COUNT($E$5:E105))</f>
        <v/>
      </c>
      <c r="N105" s="28" t="str">
        <f aca="false">IF(F105="","",COUNT($F$5:F105))</f>
        <v/>
      </c>
      <c r="O105" s="28" t="str">
        <f aca="false">IF(H105="","",COUNT($H$5:H105))</f>
        <v/>
      </c>
    </row>
    <row r="106" customFormat="false" ht="15" hidden="false" customHeight="false" outlineLevel="0" collapsed="false">
      <c r="A106" s="26"/>
      <c r="B106" s="7" t="str">
        <f aca="false">IF(A106="","",INT((A106-'Tableau de bord'!$C$6)/7)+1)</f>
        <v/>
      </c>
      <c r="C106" s="3"/>
      <c r="D106" s="3"/>
      <c r="E106" s="3"/>
      <c r="F106" s="3"/>
      <c r="G106" s="3"/>
      <c r="H106" s="3"/>
      <c r="I106" s="3"/>
      <c r="J106" s="3"/>
      <c r="K106" s="3"/>
      <c r="L106" s="27"/>
      <c r="M106" s="28" t="str">
        <f aca="false">IF(E106="","",COUNT($E$5:E106))</f>
        <v/>
      </c>
      <c r="N106" s="28" t="str">
        <f aca="false">IF(F106="","",COUNT($F$5:F106))</f>
        <v/>
      </c>
      <c r="O106" s="28" t="str">
        <f aca="false">IF(H106="","",COUNT($H$5:H106))</f>
        <v/>
      </c>
    </row>
    <row r="107" customFormat="false" ht="15" hidden="false" customHeight="false" outlineLevel="0" collapsed="false">
      <c r="A107" s="26"/>
      <c r="B107" s="7" t="str">
        <f aca="false">IF(A107="","",INT((A107-'Tableau de bord'!$C$6)/7)+1)</f>
        <v/>
      </c>
      <c r="C107" s="3"/>
      <c r="D107" s="3"/>
      <c r="E107" s="3"/>
      <c r="F107" s="3"/>
      <c r="G107" s="3"/>
      <c r="H107" s="3"/>
      <c r="I107" s="3"/>
      <c r="J107" s="3"/>
      <c r="K107" s="3"/>
      <c r="L107" s="27"/>
      <c r="M107" s="28" t="str">
        <f aca="false">IF(E107="","",COUNT($E$5:E107))</f>
        <v/>
      </c>
      <c r="N107" s="28" t="str">
        <f aca="false">IF(F107="","",COUNT($F$5:F107))</f>
        <v/>
      </c>
      <c r="O107" s="28" t="str">
        <f aca="false">IF(H107="","",COUNT($H$5:H107))</f>
        <v/>
      </c>
    </row>
    <row r="108" customFormat="false" ht="15" hidden="false" customHeight="false" outlineLevel="0" collapsed="false">
      <c r="A108" s="26"/>
      <c r="B108" s="7" t="str">
        <f aca="false">IF(A108="","",INT((A108-'Tableau de bord'!$C$6)/7)+1)</f>
        <v/>
      </c>
      <c r="C108" s="3"/>
      <c r="D108" s="3"/>
      <c r="E108" s="3"/>
      <c r="F108" s="3"/>
      <c r="G108" s="3"/>
      <c r="H108" s="3"/>
      <c r="I108" s="3"/>
      <c r="J108" s="3"/>
      <c r="K108" s="3"/>
      <c r="L108" s="27"/>
      <c r="M108" s="28" t="str">
        <f aca="false">IF(E108="","",COUNT($E$5:E108))</f>
        <v/>
      </c>
      <c r="N108" s="28" t="str">
        <f aca="false">IF(F108="","",COUNT($F$5:F108))</f>
        <v/>
      </c>
      <c r="O108" s="28" t="str">
        <f aca="false">IF(H108="","",COUNT($H$5:H108))</f>
        <v/>
      </c>
    </row>
    <row r="109" customFormat="false" ht="15" hidden="false" customHeight="false" outlineLevel="0" collapsed="false">
      <c r="A109" s="26"/>
      <c r="B109" s="7" t="str">
        <f aca="false">IF(A109="","",INT((A109-'Tableau de bord'!$C$6)/7)+1)</f>
        <v/>
      </c>
      <c r="C109" s="3"/>
      <c r="D109" s="3"/>
      <c r="E109" s="3"/>
      <c r="F109" s="3"/>
      <c r="G109" s="3"/>
      <c r="H109" s="3"/>
      <c r="I109" s="3"/>
      <c r="J109" s="3"/>
      <c r="K109" s="3"/>
      <c r="L109" s="27"/>
      <c r="M109" s="28" t="str">
        <f aca="false">IF(E109="","",COUNT($E$5:E109))</f>
        <v/>
      </c>
      <c r="N109" s="28" t="str">
        <f aca="false">IF(F109="","",COUNT($F$5:F109))</f>
        <v/>
      </c>
      <c r="O109" s="28" t="str">
        <f aca="false">IF(H109="","",COUNT($H$5:H109))</f>
        <v/>
      </c>
    </row>
    <row r="110" customFormat="false" ht="15" hidden="false" customHeight="false" outlineLevel="0" collapsed="false">
      <c r="A110" s="26"/>
      <c r="B110" s="7" t="str">
        <f aca="false">IF(A110="","",INT((A110-'Tableau de bord'!$C$6)/7)+1)</f>
        <v/>
      </c>
      <c r="C110" s="3"/>
      <c r="D110" s="3"/>
      <c r="E110" s="3"/>
      <c r="F110" s="3"/>
      <c r="G110" s="3"/>
      <c r="H110" s="3"/>
      <c r="I110" s="3"/>
      <c r="J110" s="3"/>
      <c r="K110" s="3"/>
      <c r="L110" s="27"/>
      <c r="M110" s="28" t="str">
        <f aca="false">IF(E110="","",COUNT($E$5:E110))</f>
        <v/>
      </c>
      <c r="N110" s="28" t="str">
        <f aca="false">IF(F110="","",COUNT($F$5:F110))</f>
        <v/>
      </c>
      <c r="O110" s="28" t="str">
        <f aca="false">IF(H110="","",COUNT($H$5:H110))</f>
        <v/>
      </c>
    </row>
    <row r="111" customFormat="false" ht="15" hidden="false" customHeight="false" outlineLevel="0" collapsed="false">
      <c r="A111" s="26"/>
      <c r="B111" s="7" t="str">
        <f aca="false">IF(A111="","",INT((A111-'Tableau de bord'!$C$6)/7)+1)</f>
        <v/>
      </c>
      <c r="C111" s="3"/>
      <c r="D111" s="3"/>
      <c r="E111" s="3"/>
      <c r="F111" s="3"/>
      <c r="G111" s="3"/>
      <c r="H111" s="3"/>
      <c r="I111" s="3"/>
      <c r="J111" s="3"/>
      <c r="K111" s="3"/>
      <c r="L111" s="27"/>
      <c r="M111" s="28" t="str">
        <f aca="false">IF(E111="","",COUNT($E$5:E111))</f>
        <v/>
      </c>
      <c r="N111" s="28" t="str">
        <f aca="false">IF(F111="","",COUNT($F$5:F111))</f>
        <v/>
      </c>
      <c r="O111" s="28" t="str">
        <f aca="false">IF(H111="","",COUNT($H$5:H111))</f>
        <v/>
      </c>
    </row>
    <row r="112" customFormat="false" ht="15" hidden="false" customHeight="false" outlineLevel="0" collapsed="false">
      <c r="A112" s="26"/>
      <c r="B112" s="7" t="str">
        <f aca="false">IF(A112="","",INT((A112-'Tableau de bord'!$C$6)/7)+1)</f>
        <v/>
      </c>
      <c r="C112" s="3"/>
      <c r="D112" s="3"/>
      <c r="E112" s="3"/>
      <c r="F112" s="3"/>
      <c r="G112" s="3"/>
      <c r="H112" s="3"/>
      <c r="I112" s="3"/>
      <c r="J112" s="3"/>
      <c r="K112" s="3"/>
      <c r="L112" s="27"/>
      <c r="M112" s="28" t="str">
        <f aca="false">IF(E112="","",COUNT($E$5:E112))</f>
        <v/>
      </c>
      <c r="N112" s="28" t="str">
        <f aca="false">IF(F112="","",COUNT($F$5:F112))</f>
        <v/>
      </c>
      <c r="O112" s="28" t="str">
        <f aca="false">IF(H112="","",COUNT($H$5:H112))</f>
        <v/>
      </c>
    </row>
    <row r="113" customFormat="false" ht="15" hidden="false" customHeight="false" outlineLevel="0" collapsed="false">
      <c r="A113" s="26"/>
      <c r="B113" s="7" t="str">
        <f aca="false">IF(A113="","",INT((A113-'Tableau de bord'!$C$6)/7)+1)</f>
        <v/>
      </c>
      <c r="C113" s="3"/>
      <c r="D113" s="3"/>
      <c r="E113" s="3"/>
      <c r="F113" s="3"/>
      <c r="G113" s="3"/>
      <c r="H113" s="3"/>
      <c r="I113" s="3"/>
      <c r="J113" s="3"/>
      <c r="K113" s="3"/>
      <c r="L113" s="27"/>
      <c r="M113" s="28" t="str">
        <f aca="false">IF(E113="","",COUNT($E$5:E113))</f>
        <v/>
      </c>
      <c r="N113" s="28" t="str">
        <f aca="false">IF(F113="","",COUNT($F$5:F113))</f>
        <v/>
      </c>
      <c r="O113" s="28" t="str">
        <f aca="false">IF(H113="","",COUNT($H$5:H113))</f>
        <v/>
      </c>
    </row>
    <row r="114" customFormat="false" ht="15" hidden="false" customHeight="false" outlineLevel="0" collapsed="false">
      <c r="A114" s="26"/>
      <c r="B114" s="7" t="str">
        <f aca="false">IF(A114="","",INT((A114-'Tableau de bord'!$C$6)/7)+1)</f>
        <v/>
      </c>
      <c r="C114" s="3"/>
      <c r="D114" s="3"/>
      <c r="E114" s="3"/>
      <c r="F114" s="3"/>
      <c r="G114" s="3"/>
      <c r="H114" s="3"/>
      <c r="I114" s="3"/>
      <c r="J114" s="3"/>
      <c r="K114" s="3"/>
      <c r="L114" s="27"/>
      <c r="M114" s="28" t="str">
        <f aca="false">IF(E114="","",COUNT($E$5:E114))</f>
        <v/>
      </c>
      <c r="N114" s="28" t="str">
        <f aca="false">IF(F114="","",COUNT($F$5:F114))</f>
        <v/>
      </c>
      <c r="O114" s="28" t="str">
        <f aca="false">IF(H114="","",COUNT($H$5:H114))</f>
        <v/>
      </c>
    </row>
    <row r="115" customFormat="false" ht="15" hidden="false" customHeight="false" outlineLevel="0" collapsed="false">
      <c r="A115" s="26"/>
      <c r="B115" s="7" t="str">
        <f aca="false">IF(A115="","",INT((A115-'Tableau de bord'!$C$6)/7)+1)</f>
        <v/>
      </c>
      <c r="C115" s="3"/>
      <c r="D115" s="3"/>
      <c r="E115" s="3"/>
      <c r="F115" s="3"/>
      <c r="G115" s="3"/>
      <c r="H115" s="3"/>
      <c r="I115" s="3"/>
      <c r="J115" s="3"/>
      <c r="K115" s="3"/>
      <c r="L115" s="27"/>
      <c r="M115" s="28" t="str">
        <f aca="false">IF(E115="","",COUNT($E$5:E115))</f>
        <v/>
      </c>
      <c r="N115" s="28" t="str">
        <f aca="false">IF(F115="","",COUNT($F$5:F115))</f>
        <v/>
      </c>
      <c r="O115" s="28" t="str">
        <f aca="false">IF(H115="","",COUNT($H$5:H115))</f>
        <v/>
      </c>
    </row>
    <row r="116" customFormat="false" ht="15" hidden="false" customHeight="false" outlineLevel="0" collapsed="false">
      <c r="A116" s="26"/>
      <c r="B116" s="7" t="str">
        <f aca="false">IF(A116="","",INT((A116-'Tableau de bord'!$C$6)/7)+1)</f>
        <v/>
      </c>
      <c r="C116" s="3"/>
      <c r="D116" s="3"/>
      <c r="E116" s="3"/>
      <c r="F116" s="3"/>
      <c r="G116" s="3"/>
      <c r="H116" s="3"/>
      <c r="I116" s="3"/>
      <c r="J116" s="3"/>
      <c r="K116" s="3"/>
      <c r="L116" s="27"/>
      <c r="M116" s="28" t="str">
        <f aca="false">IF(E116="","",COUNT($E$5:E116))</f>
        <v/>
      </c>
      <c r="N116" s="28" t="str">
        <f aca="false">IF(F116="","",COUNT($F$5:F116))</f>
        <v/>
      </c>
      <c r="O116" s="28" t="str">
        <f aca="false">IF(H116="","",COUNT($H$5:H116))</f>
        <v/>
      </c>
    </row>
    <row r="117" customFormat="false" ht="15" hidden="false" customHeight="false" outlineLevel="0" collapsed="false">
      <c r="A117" s="26"/>
      <c r="B117" s="7" t="str">
        <f aca="false">IF(A117="","",INT((A117-'Tableau de bord'!$C$6)/7)+1)</f>
        <v/>
      </c>
      <c r="C117" s="3"/>
      <c r="D117" s="3"/>
      <c r="E117" s="3"/>
      <c r="F117" s="3"/>
      <c r="G117" s="3"/>
      <c r="H117" s="3"/>
      <c r="I117" s="3"/>
      <c r="J117" s="3"/>
      <c r="K117" s="3"/>
      <c r="L117" s="27"/>
      <c r="M117" s="28" t="str">
        <f aca="false">IF(E117="","",COUNT($E$5:E117))</f>
        <v/>
      </c>
      <c r="N117" s="28" t="str">
        <f aca="false">IF(F117="","",COUNT($F$5:F117))</f>
        <v/>
      </c>
      <c r="O117" s="28" t="str">
        <f aca="false">IF(H117="","",COUNT($H$5:H117))</f>
        <v/>
      </c>
    </row>
    <row r="118" customFormat="false" ht="15" hidden="false" customHeight="false" outlineLevel="0" collapsed="false">
      <c r="A118" s="26"/>
      <c r="B118" s="7" t="str">
        <f aca="false">IF(A118="","",INT((A118-'Tableau de bord'!$C$6)/7)+1)</f>
        <v/>
      </c>
      <c r="C118" s="3"/>
      <c r="D118" s="3"/>
      <c r="E118" s="3"/>
      <c r="F118" s="3"/>
      <c r="G118" s="3"/>
      <c r="H118" s="3"/>
      <c r="I118" s="3"/>
      <c r="J118" s="3"/>
      <c r="K118" s="3"/>
      <c r="L118" s="27"/>
      <c r="M118" s="28" t="str">
        <f aca="false">IF(E118="","",COUNT($E$5:E118))</f>
        <v/>
      </c>
      <c r="N118" s="28" t="str">
        <f aca="false">IF(F118="","",COUNT($F$5:F118))</f>
        <v/>
      </c>
      <c r="O118" s="28" t="str">
        <f aca="false">IF(H118="","",COUNT($H$5:H118))</f>
        <v/>
      </c>
    </row>
    <row r="119" customFormat="false" ht="15" hidden="false" customHeight="false" outlineLevel="0" collapsed="false">
      <c r="A119" s="26"/>
      <c r="B119" s="7" t="str">
        <f aca="false">IF(A119="","",INT((A119-'Tableau de bord'!$C$6)/7)+1)</f>
        <v/>
      </c>
      <c r="C119" s="3"/>
      <c r="D119" s="3"/>
      <c r="E119" s="3"/>
      <c r="F119" s="3"/>
      <c r="G119" s="3"/>
      <c r="H119" s="3"/>
      <c r="I119" s="3"/>
      <c r="J119" s="3"/>
      <c r="K119" s="3"/>
      <c r="L119" s="27"/>
      <c r="M119" s="28" t="str">
        <f aca="false">IF(E119="","",COUNT($E$5:E119))</f>
        <v/>
      </c>
      <c r="N119" s="28" t="str">
        <f aca="false">IF(F119="","",COUNT($F$5:F119))</f>
        <v/>
      </c>
      <c r="O119" s="28" t="str">
        <f aca="false">IF(H119="","",COUNT($H$5:H119))</f>
        <v/>
      </c>
    </row>
    <row r="120" customFormat="false" ht="15" hidden="false" customHeight="false" outlineLevel="0" collapsed="false">
      <c r="A120" s="26"/>
      <c r="B120" s="7" t="str">
        <f aca="false">IF(A120="","",INT((A120-'Tableau de bord'!$C$6)/7)+1)</f>
        <v/>
      </c>
      <c r="C120" s="3"/>
      <c r="D120" s="3"/>
      <c r="E120" s="3"/>
      <c r="F120" s="3"/>
      <c r="G120" s="3"/>
      <c r="H120" s="3"/>
      <c r="I120" s="3"/>
      <c r="J120" s="3"/>
      <c r="K120" s="3"/>
      <c r="L120" s="27"/>
      <c r="M120" s="28" t="str">
        <f aca="false">IF(E120="","",COUNT($E$5:E120))</f>
        <v/>
      </c>
      <c r="N120" s="28" t="str">
        <f aca="false">IF(F120="","",COUNT($F$5:F120))</f>
        <v/>
      </c>
      <c r="O120" s="28" t="str">
        <f aca="false">IF(H120="","",COUNT($H$5:H120))</f>
        <v/>
      </c>
    </row>
    <row r="121" customFormat="false" ht="15" hidden="false" customHeight="false" outlineLevel="0" collapsed="false">
      <c r="A121" s="26"/>
      <c r="B121" s="7" t="str">
        <f aca="false">IF(A121="","",INT((A121-'Tableau de bord'!$C$6)/7)+1)</f>
        <v/>
      </c>
      <c r="C121" s="3"/>
      <c r="D121" s="3"/>
      <c r="E121" s="3"/>
      <c r="F121" s="3"/>
      <c r="G121" s="3"/>
      <c r="H121" s="3"/>
      <c r="I121" s="3"/>
      <c r="J121" s="3"/>
      <c r="K121" s="3"/>
      <c r="L121" s="27"/>
      <c r="M121" s="28" t="str">
        <f aca="false">IF(E121="","",COUNT($E$5:E121))</f>
        <v/>
      </c>
      <c r="N121" s="28" t="str">
        <f aca="false">IF(F121="","",COUNT($F$5:F121))</f>
        <v/>
      </c>
      <c r="O121" s="28" t="str">
        <f aca="false">IF(H121="","",COUNT($H$5:H121))</f>
        <v/>
      </c>
    </row>
    <row r="122" customFormat="false" ht="15" hidden="false" customHeight="false" outlineLevel="0" collapsed="false">
      <c r="A122" s="26"/>
      <c r="B122" s="7" t="str">
        <f aca="false">IF(A122="","",INT((A122-'Tableau de bord'!$C$6)/7)+1)</f>
        <v/>
      </c>
      <c r="C122" s="3"/>
      <c r="D122" s="3"/>
      <c r="E122" s="3"/>
      <c r="F122" s="3"/>
      <c r="G122" s="3"/>
      <c r="H122" s="3"/>
      <c r="I122" s="3"/>
      <c r="J122" s="3"/>
      <c r="K122" s="3"/>
      <c r="L122" s="27"/>
      <c r="M122" s="28" t="str">
        <f aca="false">IF(E122="","",COUNT($E$5:E122))</f>
        <v/>
      </c>
      <c r="N122" s="28" t="str">
        <f aca="false">IF(F122="","",COUNT($F$5:F122))</f>
        <v/>
      </c>
      <c r="O122" s="28" t="str">
        <f aca="false">IF(H122="","",COUNT($H$5:H122))</f>
        <v/>
      </c>
    </row>
    <row r="123" customFormat="false" ht="15" hidden="false" customHeight="false" outlineLevel="0" collapsed="false">
      <c r="A123" s="26"/>
      <c r="B123" s="7" t="str">
        <f aca="false">IF(A123="","",INT((A123-'Tableau de bord'!$C$6)/7)+1)</f>
        <v/>
      </c>
      <c r="C123" s="3"/>
      <c r="D123" s="3"/>
      <c r="E123" s="3"/>
      <c r="F123" s="3"/>
      <c r="G123" s="3"/>
      <c r="H123" s="3"/>
      <c r="I123" s="3"/>
      <c r="J123" s="3"/>
      <c r="K123" s="3"/>
      <c r="L123" s="27"/>
      <c r="M123" s="28" t="str">
        <f aca="false">IF(E123="","",COUNT($E$5:E123))</f>
        <v/>
      </c>
      <c r="N123" s="28" t="str">
        <f aca="false">IF(F123="","",COUNT($F$5:F123))</f>
        <v/>
      </c>
      <c r="O123" s="28" t="str">
        <f aca="false">IF(H123="","",COUNT($H$5:H123))</f>
        <v/>
      </c>
    </row>
    <row r="124" customFormat="false" ht="15" hidden="false" customHeight="false" outlineLevel="0" collapsed="false">
      <c r="A124" s="26"/>
      <c r="B124" s="7" t="str">
        <f aca="false">IF(A124="","",INT((A124-'Tableau de bord'!$C$6)/7)+1)</f>
        <v/>
      </c>
      <c r="C124" s="3"/>
      <c r="D124" s="3"/>
      <c r="E124" s="3"/>
      <c r="F124" s="3"/>
      <c r="G124" s="3"/>
      <c r="H124" s="3"/>
      <c r="I124" s="3"/>
      <c r="J124" s="3"/>
      <c r="K124" s="3"/>
      <c r="L124" s="27"/>
      <c r="M124" s="28" t="str">
        <f aca="false">IF(E124="","",COUNT($E$5:E124))</f>
        <v/>
      </c>
      <c r="N124" s="28" t="str">
        <f aca="false">IF(F124="","",COUNT($F$5:F124))</f>
        <v/>
      </c>
      <c r="O124" s="28" t="str">
        <f aca="false">IF(H124="","",COUNT($H$5:H124))</f>
        <v/>
      </c>
    </row>
    <row r="125" customFormat="false" ht="15" hidden="false" customHeight="false" outlineLevel="0" collapsed="false">
      <c r="A125" s="26"/>
      <c r="B125" s="7" t="str">
        <f aca="false">IF(A125="","",INT((A125-'Tableau de bord'!$C$6)/7)+1)</f>
        <v/>
      </c>
      <c r="C125" s="3"/>
      <c r="D125" s="3"/>
      <c r="E125" s="3"/>
      <c r="F125" s="3"/>
      <c r="G125" s="3"/>
      <c r="H125" s="3"/>
      <c r="I125" s="3"/>
      <c r="J125" s="3"/>
      <c r="K125" s="3"/>
      <c r="L125" s="27"/>
      <c r="M125" s="28" t="str">
        <f aca="false">IF(E125="","",COUNT($E$5:E125))</f>
        <v/>
      </c>
      <c r="N125" s="28" t="str">
        <f aca="false">IF(F125="","",COUNT($F$5:F125))</f>
        <v/>
      </c>
      <c r="O125" s="28" t="str">
        <f aca="false">IF(H125="","",COUNT($H$5:H125))</f>
        <v/>
      </c>
    </row>
    <row r="126" customFormat="false" ht="15" hidden="false" customHeight="false" outlineLevel="0" collapsed="false">
      <c r="A126" s="26"/>
      <c r="B126" s="7" t="str">
        <f aca="false">IF(A126="","",INT((A126-'Tableau de bord'!$C$6)/7)+1)</f>
        <v/>
      </c>
      <c r="C126" s="3"/>
      <c r="D126" s="3"/>
      <c r="E126" s="3"/>
      <c r="F126" s="3"/>
      <c r="G126" s="3"/>
      <c r="H126" s="3"/>
      <c r="I126" s="3"/>
      <c r="J126" s="3"/>
      <c r="K126" s="3"/>
      <c r="L126" s="27"/>
      <c r="M126" s="28" t="str">
        <f aca="false">IF(E126="","",COUNT($E$5:E126))</f>
        <v/>
      </c>
      <c r="N126" s="28" t="str">
        <f aca="false">IF(F126="","",COUNT($F$5:F126))</f>
        <v/>
      </c>
      <c r="O126" s="28" t="str">
        <f aca="false">IF(H126="","",COUNT($H$5:H126))</f>
        <v/>
      </c>
    </row>
    <row r="127" customFormat="false" ht="15" hidden="false" customHeight="false" outlineLevel="0" collapsed="false">
      <c r="A127" s="26"/>
      <c r="B127" s="7" t="str">
        <f aca="false">IF(A127="","",INT((A127-'Tableau de bord'!$C$6)/7)+1)</f>
        <v/>
      </c>
      <c r="C127" s="3"/>
      <c r="D127" s="3"/>
      <c r="E127" s="3"/>
      <c r="F127" s="3"/>
      <c r="G127" s="3"/>
      <c r="H127" s="3"/>
      <c r="I127" s="3"/>
      <c r="J127" s="3"/>
      <c r="K127" s="3"/>
      <c r="L127" s="27"/>
      <c r="M127" s="28" t="str">
        <f aca="false">IF(E127="","",COUNT($E$5:E127))</f>
        <v/>
      </c>
      <c r="N127" s="28" t="str">
        <f aca="false">IF(F127="","",COUNT($F$5:F127))</f>
        <v/>
      </c>
      <c r="O127" s="28" t="str">
        <f aca="false">IF(H127="","",COUNT($H$5:H127))</f>
        <v/>
      </c>
    </row>
    <row r="128" customFormat="false" ht="15" hidden="false" customHeight="false" outlineLevel="0" collapsed="false">
      <c r="A128" s="26"/>
      <c r="B128" s="7" t="str">
        <f aca="false">IF(A128="","",INT((A128-'Tableau de bord'!$C$6)/7)+1)</f>
        <v/>
      </c>
      <c r="C128" s="3"/>
      <c r="D128" s="3"/>
      <c r="E128" s="3"/>
      <c r="F128" s="3"/>
      <c r="G128" s="3"/>
      <c r="H128" s="3"/>
      <c r="I128" s="3"/>
      <c r="J128" s="3"/>
      <c r="K128" s="3"/>
      <c r="L128" s="27"/>
      <c r="M128" s="28" t="str">
        <f aca="false">IF(E128="","",COUNT($E$5:E128))</f>
        <v/>
      </c>
      <c r="N128" s="28" t="str">
        <f aca="false">IF(F128="","",COUNT($F$5:F128))</f>
        <v/>
      </c>
      <c r="O128" s="28" t="str">
        <f aca="false">IF(H128="","",COUNT($H$5:H128))</f>
        <v/>
      </c>
    </row>
    <row r="129" customFormat="false" ht="15" hidden="false" customHeight="false" outlineLevel="0" collapsed="false">
      <c r="A129" s="26"/>
      <c r="B129" s="7" t="str">
        <f aca="false">IF(A129="","",INT((A129-'Tableau de bord'!$C$6)/7)+1)</f>
        <v/>
      </c>
      <c r="C129" s="3"/>
      <c r="D129" s="3"/>
      <c r="E129" s="3"/>
      <c r="F129" s="3"/>
      <c r="G129" s="3"/>
      <c r="H129" s="3"/>
      <c r="I129" s="3"/>
      <c r="J129" s="3"/>
      <c r="K129" s="3"/>
      <c r="L129" s="27"/>
      <c r="M129" s="28" t="str">
        <f aca="false">IF(E129="","",COUNT($E$5:E129))</f>
        <v/>
      </c>
      <c r="N129" s="28" t="str">
        <f aca="false">IF(F129="","",COUNT($F$5:F129))</f>
        <v/>
      </c>
      <c r="O129" s="28" t="str">
        <f aca="false">IF(H129="","",COUNT($H$5:H129))</f>
        <v/>
      </c>
    </row>
    <row r="130" customFormat="false" ht="15" hidden="false" customHeight="false" outlineLevel="0" collapsed="false">
      <c r="A130" s="26"/>
      <c r="B130" s="7" t="str">
        <f aca="false">IF(A130="","",INT((A130-'Tableau de bord'!$C$6)/7)+1)</f>
        <v/>
      </c>
      <c r="C130" s="3"/>
      <c r="D130" s="3"/>
      <c r="E130" s="3"/>
      <c r="F130" s="3"/>
      <c r="G130" s="3"/>
      <c r="H130" s="3"/>
      <c r="I130" s="3"/>
      <c r="J130" s="3"/>
      <c r="K130" s="3"/>
      <c r="L130" s="27"/>
      <c r="M130" s="28" t="str">
        <f aca="false">IF(E130="","",COUNT($E$5:E130))</f>
        <v/>
      </c>
      <c r="N130" s="28" t="str">
        <f aca="false">IF(F130="","",COUNT($F$5:F130))</f>
        <v/>
      </c>
      <c r="O130" s="28" t="str">
        <f aca="false">IF(H130="","",COUNT($H$5:H130))</f>
        <v/>
      </c>
    </row>
    <row r="131" customFormat="false" ht="15" hidden="false" customHeight="false" outlineLevel="0" collapsed="false">
      <c r="A131" s="26"/>
      <c r="B131" s="7" t="str">
        <f aca="false">IF(A131="","",INT((A131-'Tableau de bord'!$C$6)/7)+1)</f>
        <v/>
      </c>
      <c r="C131" s="3"/>
      <c r="D131" s="3"/>
      <c r="E131" s="3"/>
      <c r="F131" s="3"/>
      <c r="G131" s="3"/>
      <c r="H131" s="3"/>
      <c r="I131" s="3"/>
      <c r="J131" s="3"/>
      <c r="K131" s="3"/>
      <c r="L131" s="27"/>
      <c r="M131" s="28" t="str">
        <f aca="false">IF(E131="","",COUNT($E$5:E131))</f>
        <v/>
      </c>
      <c r="N131" s="28" t="str">
        <f aca="false">IF(F131="","",COUNT($F$5:F131))</f>
        <v/>
      </c>
      <c r="O131" s="28" t="str">
        <f aca="false">IF(H131="","",COUNT($H$5:H131))</f>
        <v/>
      </c>
    </row>
    <row r="132" customFormat="false" ht="15" hidden="false" customHeight="false" outlineLevel="0" collapsed="false">
      <c r="A132" s="26"/>
      <c r="B132" s="7" t="str">
        <f aca="false">IF(A132="","",INT((A132-'Tableau de bord'!$C$6)/7)+1)</f>
        <v/>
      </c>
      <c r="C132" s="3"/>
      <c r="D132" s="3"/>
      <c r="E132" s="3"/>
      <c r="F132" s="3"/>
      <c r="G132" s="3"/>
      <c r="H132" s="3"/>
      <c r="I132" s="3"/>
      <c r="J132" s="3"/>
      <c r="K132" s="3"/>
      <c r="L132" s="27"/>
      <c r="M132" s="28" t="str">
        <f aca="false">IF(E132="","",COUNT($E$5:E132))</f>
        <v/>
      </c>
      <c r="N132" s="28" t="str">
        <f aca="false">IF(F132="","",COUNT($F$5:F132))</f>
        <v/>
      </c>
      <c r="O132" s="28" t="str">
        <f aca="false">IF(H132="","",COUNT($H$5:H132))</f>
        <v/>
      </c>
    </row>
    <row r="133" customFormat="false" ht="15" hidden="false" customHeight="false" outlineLevel="0" collapsed="false">
      <c r="A133" s="26"/>
      <c r="B133" s="7" t="str">
        <f aca="false">IF(A133="","",INT((A133-'Tableau de bord'!$C$6)/7)+1)</f>
        <v/>
      </c>
      <c r="C133" s="3"/>
      <c r="D133" s="3"/>
      <c r="E133" s="3"/>
      <c r="F133" s="3"/>
      <c r="G133" s="3"/>
      <c r="H133" s="3"/>
      <c r="I133" s="3"/>
      <c r="J133" s="3"/>
      <c r="K133" s="3"/>
      <c r="L133" s="27"/>
      <c r="M133" s="28" t="str">
        <f aca="false">IF(E133="","",COUNT($E$5:E133))</f>
        <v/>
      </c>
      <c r="N133" s="28" t="str">
        <f aca="false">IF(F133="","",COUNT($F$5:F133))</f>
        <v/>
      </c>
      <c r="O133" s="28" t="str">
        <f aca="false">IF(H133="","",COUNT($H$5:H133))</f>
        <v/>
      </c>
    </row>
    <row r="134" customFormat="false" ht="15" hidden="false" customHeight="false" outlineLevel="0" collapsed="false">
      <c r="A134" s="26"/>
      <c r="B134" s="7" t="str">
        <f aca="false">IF(A134="","",INT((A134-'Tableau de bord'!$C$6)/7)+1)</f>
        <v/>
      </c>
      <c r="C134" s="3"/>
      <c r="D134" s="3"/>
      <c r="E134" s="3"/>
      <c r="F134" s="3"/>
      <c r="G134" s="3"/>
      <c r="H134" s="3"/>
      <c r="I134" s="3"/>
      <c r="J134" s="3"/>
      <c r="K134" s="3"/>
      <c r="L134" s="27"/>
      <c r="M134" s="28" t="str">
        <f aca="false">IF(E134="","",COUNT($E$5:E134))</f>
        <v/>
      </c>
      <c r="N134" s="28" t="str">
        <f aca="false">IF(F134="","",COUNT($F$5:F134))</f>
        <v/>
      </c>
      <c r="O134" s="28" t="str">
        <f aca="false">IF(H134="","",COUNT($H$5:H134))</f>
        <v/>
      </c>
    </row>
    <row r="135" customFormat="false" ht="15" hidden="false" customHeight="false" outlineLevel="0" collapsed="false">
      <c r="A135" s="26"/>
      <c r="B135" s="7" t="str">
        <f aca="false">IF(A135="","",INT((A135-'Tableau de bord'!$C$6)/7)+1)</f>
        <v/>
      </c>
      <c r="C135" s="3"/>
      <c r="D135" s="3"/>
      <c r="E135" s="3"/>
      <c r="F135" s="3"/>
      <c r="G135" s="3"/>
      <c r="H135" s="3"/>
      <c r="I135" s="3"/>
      <c r="J135" s="3"/>
      <c r="K135" s="3"/>
      <c r="L135" s="27"/>
      <c r="M135" s="28" t="str">
        <f aca="false">IF(E135="","",COUNT($E$5:E135))</f>
        <v/>
      </c>
      <c r="N135" s="28" t="str">
        <f aca="false">IF(F135="","",COUNT($F$5:F135))</f>
        <v/>
      </c>
      <c r="O135" s="28" t="str">
        <f aca="false">IF(H135="","",COUNT($H$5:H135))</f>
        <v/>
      </c>
    </row>
    <row r="136" customFormat="false" ht="15" hidden="false" customHeight="false" outlineLevel="0" collapsed="false">
      <c r="A136" s="26"/>
      <c r="B136" s="7" t="str">
        <f aca="false">IF(A136="","",INT((A136-'Tableau de bord'!$C$6)/7)+1)</f>
        <v/>
      </c>
      <c r="C136" s="3"/>
      <c r="D136" s="3"/>
      <c r="E136" s="3"/>
      <c r="F136" s="3"/>
      <c r="G136" s="3"/>
      <c r="H136" s="3"/>
      <c r="I136" s="3"/>
      <c r="J136" s="3"/>
      <c r="K136" s="3"/>
      <c r="L136" s="27"/>
      <c r="M136" s="28" t="str">
        <f aca="false">IF(E136="","",COUNT($E$5:E136))</f>
        <v/>
      </c>
      <c r="N136" s="28" t="str">
        <f aca="false">IF(F136="","",COUNT($F$5:F136))</f>
        <v/>
      </c>
      <c r="O136" s="28" t="str">
        <f aca="false">IF(H136="","",COUNT($H$5:H136))</f>
        <v/>
      </c>
    </row>
    <row r="137" customFormat="false" ht="15" hidden="false" customHeight="false" outlineLevel="0" collapsed="false">
      <c r="A137" s="26"/>
      <c r="B137" s="7" t="str">
        <f aca="false">IF(A137="","",INT((A137-'Tableau de bord'!$C$6)/7)+1)</f>
        <v/>
      </c>
      <c r="C137" s="3"/>
      <c r="D137" s="3"/>
      <c r="E137" s="3"/>
      <c r="F137" s="3"/>
      <c r="G137" s="3"/>
      <c r="H137" s="3"/>
      <c r="I137" s="3"/>
      <c r="J137" s="3"/>
      <c r="K137" s="3"/>
      <c r="L137" s="27"/>
      <c r="M137" s="28" t="str">
        <f aca="false">IF(E137="","",COUNT($E$5:E137))</f>
        <v/>
      </c>
      <c r="N137" s="28" t="str">
        <f aca="false">IF(F137="","",COUNT($F$5:F137))</f>
        <v/>
      </c>
      <c r="O137" s="28" t="str">
        <f aca="false">IF(H137="","",COUNT($H$5:H137))</f>
        <v/>
      </c>
    </row>
    <row r="138" customFormat="false" ht="15" hidden="false" customHeight="false" outlineLevel="0" collapsed="false">
      <c r="A138" s="26"/>
      <c r="B138" s="7" t="str">
        <f aca="false">IF(A138="","",INT((A138-'Tableau de bord'!$C$6)/7)+1)</f>
        <v/>
      </c>
      <c r="C138" s="3"/>
      <c r="D138" s="3"/>
      <c r="E138" s="3"/>
      <c r="F138" s="3"/>
      <c r="G138" s="3"/>
      <c r="H138" s="3"/>
      <c r="I138" s="3"/>
      <c r="J138" s="3"/>
      <c r="K138" s="3"/>
      <c r="L138" s="27"/>
      <c r="M138" s="28" t="str">
        <f aca="false">IF(E138="","",COUNT($E$5:E138))</f>
        <v/>
      </c>
      <c r="N138" s="28" t="str">
        <f aca="false">IF(F138="","",COUNT($F$5:F138))</f>
        <v/>
      </c>
      <c r="O138" s="28" t="str">
        <f aca="false">IF(H138="","",COUNT($H$5:H138))</f>
        <v/>
      </c>
    </row>
    <row r="139" customFormat="false" ht="15" hidden="false" customHeight="false" outlineLevel="0" collapsed="false">
      <c r="A139" s="26"/>
      <c r="B139" s="7" t="str">
        <f aca="false">IF(A139="","",INT((A139-'Tableau de bord'!$C$6)/7)+1)</f>
        <v/>
      </c>
      <c r="C139" s="3"/>
      <c r="D139" s="3"/>
      <c r="E139" s="3"/>
      <c r="F139" s="3"/>
      <c r="G139" s="3"/>
      <c r="H139" s="3"/>
      <c r="I139" s="3"/>
      <c r="J139" s="3"/>
      <c r="K139" s="3"/>
      <c r="L139" s="27"/>
      <c r="M139" s="28" t="str">
        <f aca="false">IF(E139="","",COUNT($E$5:E139))</f>
        <v/>
      </c>
      <c r="N139" s="28" t="str">
        <f aca="false">IF(F139="","",COUNT($F$5:F139))</f>
        <v/>
      </c>
      <c r="O139" s="28" t="str">
        <f aca="false">IF(H139="","",COUNT($H$5:H139))</f>
        <v/>
      </c>
    </row>
    <row r="140" customFormat="false" ht="15" hidden="false" customHeight="false" outlineLevel="0" collapsed="false">
      <c r="A140" s="26"/>
      <c r="B140" s="7" t="str">
        <f aca="false">IF(A140="","",INT((A140-'Tableau de bord'!$C$6)/7)+1)</f>
        <v/>
      </c>
      <c r="C140" s="3"/>
      <c r="D140" s="3"/>
      <c r="E140" s="3"/>
      <c r="F140" s="3"/>
      <c r="G140" s="3"/>
      <c r="H140" s="3"/>
      <c r="I140" s="3"/>
      <c r="J140" s="3"/>
      <c r="K140" s="3"/>
      <c r="L140" s="27"/>
      <c r="M140" s="28" t="str">
        <f aca="false">IF(E140="","",COUNT($E$5:E140))</f>
        <v/>
      </c>
      <c r="N140" s="28" t="str">
        <f aca="false">IF(F140="","",COUNT($F$5:F140))</f>
        <v/>
      </c>
      <c r="O140" s="28" t="str">
        <f aca="false">IF(H140="","",COUNT($H$5:H140))</f>
        <v/>
      </c>
    </row>
    <row r="141" customFormat="false" ht="15" hidden="false" customHeight="false" outlineLevel="0" collapsed="false">
      <c r="A141" s="26"/>
      <c r="B141" s="7" t="str">
        <f aca="false">IF(A141="","",INT((A141-'Tableau de bord'!$C$6)/7)+1)</f>
        <v/>
      </c>
      <c r="C141" s="3"/>
      <c r="D141" s="3"/>
      <c r="E141" s="3"/>
      <c r="F141" s="3"/>
      <c r="G141" s="3"/>
      <c r="H141" s="3"/>
      <c r="I141" s="3"/>
      <c r="J141" s="3"/>
      <c r="K141" s="3"/>
      <c r="L141" s="27"/>
      <c r="M141" s="28" t="str">
        <f aca="false">IF(E141="","",COUNT($E$5:E141))</f>
        <v/>
      </c>
      <c r="N141" s="28" t="str">
        <f aca="false">IF(F141="","",COUNT($F$5:F141))</f>
        <v/>
      </c>
      <c r="O141" s="28" t="str">
        <f aca="false">IF(H141="","",COUNT($H$5:H141))</f>
        <v/>
      </c>
    </row>
    <row r="142" customFormat="false" ht="15" hidden="false" customHeight="false" outlineLevel="0" collapsed="false">
      <c r="A142" s="26"/>
      <c r="B142" s="7" t="str">
        <f aca="false">IF(A142="","",INT((A142-'Tableau de bord'!$C$6)/7)+1)</f>
        <v/>
      </c>
      <c r="C142" s="3"/>
      <c r="D142" s="3"/>
      <c r="E142" s="3"/>
      <c r="F142" s="3"/>
      <c r="G142" s="3"/>
      <c r="H142" s="3"/>
      <c r="I142" s="3"/>
      <c r="J142" s="3"/>
      <c r="K142" s="3"/>
      <c r="L142" s="27"/>
      <c r="M142" s="28" t="str">
        <f aca="false">IF(E142="","",COUNT($E$5:E142))</f>
        <v/>
      </c>
      <c r="N142" s="28" t="str">
        <f aca="false">IF(F142="","",COUNT($F$5:F142))</f>
        <v/>
      </c>
      <c r="O142" s="28" t="str">
        <f aca="false">IF(H142="","",COUNT($H$5:H142))</f>
        <v/>
      </c>
    </row>
    <row r="143" customFormat="false" ht="15" hidden="false" customHeight="false" outlineLevel="0" collapsed="false">
      <c r="A143" s="26"/>
      <c r="B143" s="7" t="str">
        <f aca="false">IF(A143="","",INT((A143-'Tableau de bord'!$C$6)/7)+1)</f>
        <v/>
      </c>
      <c r="C143" s="3"/>
      <c r="D143" s="3"/>
      <c r="E143" s="3"/>
      <c r="F143" s="3"/>
      <c r="G143" s="3"/>
      <c r="H143" s="3"/>
      <c r="I143" s="3"/>
      <c r="J143" s="3"/>
      <c r="K143" s="3"/>
      <c r="L143" s="27"/>
      <c r="M143" s="28" t="str">
        <f aca="false">IF(E143="","",COUNT($E$5:E143))</f>
        <v/>
      </c>
      <c r="N143" s="28" t="str">
        <f aca="false">IF(F143="","",COUNT($F$5:F143))</f>
        <v/>
      </c>
      <c r="O143" s="28" t="str">
        <f aca="false">IF(H143="","",COUNT($H$5:H143))</f>
        <v/>
      </c>
    </row>
    <row r="144" customFormat="false" ht="15" hidden="false" customHeight="false" outlineLevel="0" collapsed="false">
      <c r="A144" s="26"/>
      <c r="B144" s="7" t="str">
        <f aca="false">IF(A144="","",INT((A144-'Tableau de bord'!$C$6)/7)+1)</f>
        <v/>
      </c>
      <c r="C144" s="3"/>
      <c r="D144" s="3"/>
      <c r="E144" s="3"/>
      <c r="F144" s="3"/>
      <c r="G144" s="3"/>
      <c r="H144" s="3"/>
      <c r="I144" s="3"/>
      <c r="J144" s="3"/>
      <c r="K144" s="3"/>
      <c r="L144" s="27"/>
      <c r="M144" s="28" t="str">
        <f aca="false">IF(E144="","",COUNT($E$5:E144))</f>
        <v/>
      </c>
      <c r="N144" s="28" t="str">
        <f aca="false">IF(F144="","",COUNT($F$5:F144))</f>
        <v/>
      </c>
      <c r="O144" s="28" t="str">
        <f aca="false">IF(H144="","",COUNT($H$5:H144))</f>
        <v/>
      </c>
    </row>
    <row r="145" customFormat="false" ht="15" hidden="false" customHeight="false" outlineLevel="0" collapsed="false">
      <c r="A145" s="26"/>
      <c r="B145" s="7" t="str">
        <f aca="false">IF(A145="","",INT((A145-'Tableau de bord'!$C$6)/7)+1)</f>
        <v/>
      </c>
      <c r="C145" s="3"/>
      <c r="D145" s="3"/>
      <c r="E145" s="3"/>
      <c r="F145" s="3"/>
      <c r="G145" s="3"/>
      <c r="H145" s="3"/>
      <c r="I145" s="3"/>
      <c r="J145" s="3"/>
      <c r="K145" s="3"/>
      <c r="L145" s="27"/>
      <c r="M145" s="28" t="str">
        <f aca="false">IF(E145="","",COUNT($E$5:E145))</f>
        <v/>
      </c>
      <c r="N145" s="28" t="str">
        <f aca="false">IF(F145="","",COUNT($F$5:F145))</f>
        <v/>
      </c>
      <c r="O145" s="28" t="str">
        <f aca="false">IF(H145="","",COUNT($H$5:H145))</f>
        <v/>
      </c>
    </row>
    <row r="146" customFormat="false" ht="15" hidden="false" customHeight="false" outlineLevel="0" collapsed="false">
      <c r="A146" s="26"/>
      <c r="B146" s="7" t="str">
        <f aca="false">IF(A146="","",INT((A146-'Tableau de bord'!$C$6)/7)+1)</f>
        <v/>
      </c>
      <c r="C146" s="3"/>
      <c r="D146" s="3"/>
      <c r="E146" s="3"/>
      <c r="F146" s="3"/>
      <c r="G146" s="3"/>
      <c r="H146" s="3"/>
      <c r="I146" s="3"/>
      <c r="J146" s="3"/>
      <c r="K146" s="3"/>
      <c r="L146" s="27"/>
      <c r="M146" s="28" t="str">
        <f aca="false">IF(E146="","",COUNT($E$5:E146))</f>
        <v/>
      </c>
      <c r="N146" s="28" t="str">
        <f aca="false">IF(F146="","",COUNT($F$5:F146))</f>
        <v/>
      </c>
      <c r="O146" s="28" t="str">
        <f aca="false">IF(H146="","",COUNT($H$5:H146))</f>
        <v/>
      </c>
    </row>
    <row r="147" customFormat="false" ht="15" hidden="false" customHeight="false" outlineLevel="0" collapsed="false">
      <c r="A147" s="26"/>
      <c r="B147" s="7" t="str">
        <f aca="false">IF(A147="","",INT((A147-'Tableau de bord'!$C$6)/7)+1)</f>
        <v/>
      </c>
      <c r="C147" s="3"/>
      <c r="D147" s="3"/>
      <c r="E147" s="3"/>
      <c r="F147" s="3"/>
      <c r="G147" s="3"/>
      <c r="H147" s="3"/>
      <c r="I147" s="3"/>
      <c r="J147" s="3"/>
      <c r="K147" s="3"/>
      <c r="L147" s="27"/>
      <c r="M147" s="28" t="str">
        <f aca="false">IF(E147="","",COUNT($E$5:E147))</f>
        <v/>
      </c>
      <c r="N147" s="28" t="str">
        <f aca="false">IF(F147="","",COUNT($F$5:F147))</f>
        <v/>
      </c>
      <c r="O147" s="28" t="str">
        <f aca="false">IF(H147="","",COUNT($H$5:H147))</f>
        <v/>
      </c>
    </row>
    <row r="148" customFormat="false" ht="15" hidden="false" customHeight="false" outlineLevel="0" collapsed="false">
      <c r="A148" s="26"/>
      <c r="B148" s="7" t="str">
        <f aca="false">IF(A148="","",INT((A148-'Tableau de bord'!$C$6)/7)+1)</f>
        <v/>
      </c>
      <c r="C148" s="3"/>
      <c r="D148" s="3"/>
      <c r="E148" s="3"/>
      <c r="F148" s="3"/>
      <c r="G148" s="3"/>
      <c r="H148" s="3"/>
      <c r="I148" s="3"/>
      <c r="J148" s="3"/>
      <c r="K148" s="3"/>
      <c r="L148" s="27"/>
      <c r="M148" s="28" t="str">
        <f aca="false">IF(E148="","",COUNT($E$5:E148))</f>
        <v/>
      </c>
      <c r="N148" s="28" t="str">
        <f aca="false">IF(F148="","",COUNT($F$5:F148))</f>
        <v/>
      </c>
      <c r="O148" s="28" t="str">
        <f aca="false">IF(H148="","",COUNT($H$5:H148))</f>
        <v/>
      </c>
    </row>
    <row r="149" customFormat="false" ht="15" hidden="false" customHeight="false" outlineLevel="0" collapsed="false">
      <c r="A149" s="26"/>
      <c r="B149" s="7" t="str">
        <f aca="false">IF(A149="","",INT((A149-'Tableau de bord'!$C$6)/7)+1)</f>
        <v/>
      </c>
      <c r="C149" s="3"/>
      <c r="D149" s="3"/>
      <c r="E149" s="3"/>
      <c r="F149" s="3"/>
      <c r="G149" s="3"/>
      <c r="H149" s="3"/>
      <c r="I149" s="3"/>
      <c r="J149" s="3"/>
      <c r="K149" s="3"/>
      <c r="L149" s="27"/>
      <c r="M149" s="28" t="str">
        <f aca="false">IF(E149="","",COUNT($E$5:E149))</f>
        <v/>
      </c>
      <c r="N149" s="28" t="str">
        <f aca="false">IF(F149="","",COUNT($F$5:F149))</f>
        <v/>
      </c>
      <c r="O149" s="28" t="str">
        <f aca="false">IF(H149="","",COUNT($H$5:H149))</f>
        <v/>
      </c>
    </row>
    <row r="150" customFormat="false" ht="15" hidden="false" customHeight="false" outlineLevel="0" collapsed="false">
      <c r="A150" s="26"/>
      <c r="B150" s="7" t="str">
        <f aca="false">IF(A150="","",INT((A150-'Tableau de bord'!$C$6)/7)+1)</f>
        <v/>
      </c>
      <c r="C150" s="3"/>
      <c r="D150" s="3"/>
      <c r="E150" s="3"/>
      <c r="F150" s="3"/>
      <c r="G150" s="3"/>
      <c r="H150" s="3"/>
      <c r="I150" s="3"/>
      <c r="J150" s="3"/>
      <c r="K150" s="3"/>
      <c r="L150" s="27"/>
      <c r="M150" s="28" t="str">
        <f aca="false">IF(E150="","",COUNT($E$5:E150))</f>
        <v/>
      </c>
      <c r="N150" s="28" t="str">
        <f aca="false">IF(F150="","",COUNT($F$5:F150))</f>
        <v/>
      </c>
      <c r="O150" s="28" t="str">
        <f aca="false">IF(H150="","",COUNT($H$5:H150))</f>
        <v/>
      </c>
    </row>
    <row r="151" customFormat="false" ht="15" hidden="false" customHeight="false" outlineLevel="0" collapsed="false">
      <c r="A151" s="26"/>
      <c r="B151" s="7" t="str">
        <f aca="false">IF(A151="","",INT((A151-'Tableau de bord'!$C$6)/7)+1)</f>
        <v/>
      </c>
      <c r="C151" s="3"/>
      <c r="D151" s="3"/>
      <c r="E151" s="3"/>
      <c r="F151" s="3"/>
      <c r="G151" s="3"/>
      <c r="H151" s="3"/>
      <c r="I151" s="3"/>
      <c r="J151" s="3"/>
      <c r="K151" s="3"/>
      <c r="L151" s="27"/>
      <c r="M151" s="28" t="str">
        <f aca="false">IF(E151="","",COUNT($E$5:E151))</f>
        <v/>
      </c>
      <c r="N151" s="28" t="str">
        <f aca="false">IF(F151="","",COUNT($F$5:F151))</f>
        <v/>
      </c>
      <c r="O151" s="28" t="str">
        <f aca="false">IF(H151="","",COUNT($H$5:H151))</f>
        <v/>
      </c>
    </row>
    <row r="152" customFormat="false" ht="15" hidden="false" customHeight="false" outlineLevel="0" collapsed="false">
      <c r="A152" s="26"/>
      <c r="B152" s="7" t="str">
        <f aca="false">IF(A152="","",INT((A152-'Tableau de bord'!$C$6)/7)+1)</f>
        <v/>
      </c>
      <c r="C152" s="3"/>
      <c r="D152" s="3"/>
      <c r="E152" s="3"/>
      <c r="F152" s="3"/>
      <c r="G152" s="3"/>
      <c r="H152" s="3"/>
      <c r="I152" s="3"/>
      <c r="J152" s="3"/>
      <c r="K152" s="3"/>
      <c r="L152" s="27"/>
      <c r="M152" s="28" t="str">
        <f aca="false">IF(E152="","",COUNT($E$5:E152))</f>
        <v/>
      </c>
      <c r="N152" s="28" t="str">
        <f aca="false">IF(F152="","",COUNT($F$5:F152))</f>
        <v/>
      </c>
      <c r="O152" s="28" t="str">
        <f aca="false">IF(H152="","",COUNT($H$5:H152))</f>
        <v/>
      </c>
    </row>
    <row r="153" customFormat="false" ht="15" hidden="false" customHeight="false" outlineLevel="0" collapsed="false">
      <c r="A153" s="26"/>
      <c r="B153" s="7" t="str">
        <f aca="false">IF(A153="","",INT((A153-'Tableau de bord'!$C$6)/7)+1)</f>
        <v/>
      </c>
      <c r="C153" s="3"/>
      <c r="D153" s="3"/>
      <c r="E153" s="3"/>
      <c r="F153" s="3"/>
      <c r="G153" s="3"/>
      <c r="H153" s="3"/>
      <c r="I153" s="3"/>
      <c r="J153" s="3"/>
      <c r="K153" s="3"/>
      <c r="L153" s="27"/>
      <c r="M153" s="28" t="str">
        <f aca="false">IF(E153="","",COUNT($E$5:E153))</f>
        <v/>
      </c>
      <c r="N153" s="28" t="str">
        <f aca="false">IF(F153="","",COUNT($F$5:F153))</f>
        <v/>
      </c>
      <c r="O153" s="28" t="str">
        <f aca="false">IF(H153="","",COUNT($H$5:H153))</f>
        <v/>
      </c>
    </row>
    <row r="154" customFormat="false" ht="15" hidden="false" customHeight="false" outlineLevel="0" collapsed="false">
      <c r="A154" s="26"/>
      <c r="B154" s="7" t="str">
        <f aca="false">IF(A154="","",INT((A154-'Tableau de bord'!$C$6)/7)+1)</f>
        <v/>
      </c>
      <c r="C154" s="3"/>
      <c r="D154" s="3"/>
      <c r="E154" s="3"/>
      <c r="F154" s="3"/>
      <c r="G154" s="3"/>
      <c r="H154" s="3"/>
      <c r="I154" s="3"/>
      <c r="J154" s="3"/>
      <c r="K154" s="3"/>
      <c r="L154" s="27"/>
      <c r="M154" s="28" t="str">
        <f aca="false">IF(E154="","",COUNT($E$5:E154))</f>
        <v/>
      </c>
      <c r="N154" s="28" t="str">
        <f aca="false">IF(F154="","",COUNT($F$5:F154))</f>
        <v/>
      </c>
      <c r="O154" s="28" t="str">
        <f aca="false">IF(H154="","",COUNT($H$5:H154))</f>
        <v/>
      </c>
    </row>
    <row r="155" customFormat="false" ht="15" hidden="false" customHeight="false" outlineLevel="0" collapsed="false">
      <c r="A155" s="26"/>
      <c r="B155" s="7" t="str">
        <f aca="false">IF(A155="","",INT((A155-'Tableau de bord'!$C$6)/7)+1)</f>
        <v/>
      </c>
      <c r="C155" s="3"/>
      <c r="D155" s="3"/>
      <c r="E155" s="3"/>
      <c r="F155" s="3"/>
      <c r="G155" s="3"/>
      <c r="H155" s="3"/>
      <c r="I155" s="3"/>
      <c r="J155" s="3"/>
      <c r="K155" s="3"/>
      <c r="L155" s="27"/>
      <c r="M155" s="28" t="str">
        <f aca="false">IF(E155="","",COUNT($E$5:E155))</f>
        <v/>
      </c>
      <c r="N155" s="28" t="str">
        <f aca="false">IF(F155="","",COUNT($F$5:F155))</f>
        <v/>
      </c>
      <c r="O155" s="28" t="str">
        <f aca="false">IF(H155="","",COUNT($H$5:H155))</f>
        <v/>
      </c>
    </row>
    <row r="156" customFormat="false" ht="15" hidden="false" customHeight="false" outlineLevel="0" collapsed="false">
      <c r="A156" s="26"/>
      <c r="B156" s="7" t="str">
        <f aca="false">IF(A156="","",INT((A156-'Tableau de bord'!$C$6)/7)+1)</f>
        <v/>
      </c>
      <c r="C156" s="3"/>
      <c r="D156" s="3"/>
      <c r="E156" s="3"/>
      <c r="F156" s="3"/>
      <c r="G156" s="3"/>
      <c r="H156" s="3"/>
      <c r="I156" s="3"/>
      <c r="J156" s="3"/>
      <c r="K156" s="3"/>
      <c r="L156" s="27"/>
      <c r="M156" s="28" t="str">
        <f aca="false">IF(E156="","",COUNT($E$5:E156))</f>
        <v/>
      </c>
      <c r="N156" s="28" t="str">
        <f aca="false">IF(F156="","",COUNT($F$5:F156))</f>
        <v/>
      </c>
      <c r="O156" s="28" t="str">
        <f aca="false">IF(H156="","",COUNT($H$5:H156))</f>
        <v/>
      </c>
    </row>
    <row r="157" customFormat="false" ht="15" hidden="false" customHeight="false" outlineLevel="0" collapsed="false">
      <c r="A157" s="26"/>
      <c r="B157" s="7" t="str">
        <f aca="false">IF(A157="","",INT((A157-'Tableau de bord'!$C$6)/7)+1)</f>
        <v/>
      </c>
      <c r="C157" s="3"/>
      <c r="D157" s="3"/>
      <c r="E157" s="3"/>
      <c r="F157" s="3"/>
      <c r="G157" s="3"/>
      <c r="H157" s="3"/>
      <c r="I157" s="3"/>
      <c r="J157" s="3"/>
      <c r="K157" s="3"/>
      <c r="L157" s="27"/>
      <c r="M157" s="28" t="str">
        <f aca="false">IF(E157="","",COUNT($E$5:E157))</f>
        <v/>
      </c>
      <c r="N157" s="28" t="str">
        <f aca="false">IF(F157="","",COUNT($F$5:F157))</f>
        <v/>
      </c>
      <c r="O157" s="28" t="str">
        <f aca="false">IF(H157="","",COUNT($H$5:H157))</f>
        <v/>
      </c>
    </row>
    <row r="158" customFormat="false" ht="15" hidden="false" customHeight="false" outlineLevel="0" collapsed="false">
      <c r="A158" s="26"/>
      <c r="B158" s="7" t="str">
        <f aca="false">IF(A158="","",INT((A158-'Tableau de bord'!$C$6)/7)+1)</f>
        <v/>
      </c>
      <c r="C158" s="3"/>
      <c r="D158" s="3"/>
      <c r="E158" s="3"/>
      <c r="F158" s="3"/>
      <c r="G158" s="3"/>
      <c r="H158" s="3"/>
      <c r="I158" s="3"/>
      <c r="J158" s="3"/>
      <c r="K158" s="3"/>
      <c r="L158" s="27"/>
      <c r="M158" s="28" t="str">
        <f aca="false">IF(E158="","",COUNT($E$5:E158))</f>
        <v/>
      </c>
      <c r="N158" s="28" t="str">
        <f aca="false">IF(F158="","",COUNT($F$5:F158))</f>
        <v/>
      </c>
      <c r="O158" s="28" t="str">
        <f aca="false">IF(H158="","",COUNT($H$5:H158))</f>
        <v/>
      </c>
    </row>
    <row r="159" customFormat="false" ht="15" hidden="false" customHeight="false" outlineLevel="0" collapsed="false">
      <c r="A159" s="26"/>
      <c r="B159" s="7" t="str">
        <f aca="false">IF(A159="","",INT((A159-'Tableau de bord'!$C$6)/7)+1)</f>
        <v/>
      </c>
      <c r="C159" s="3"/>
      <c r="D159" s="3"/>
      <c r="E159" s="3"/>
      <c r="F159" s="3"/>
      <c r="G159" s="3"/>
      <c r="H159" s="3"/>
      <c r="I159" s="3"/>
      <c r="J159" s="3"/>
      <c r="K159" s="3"/>
      <c r="L159" s="27"/>
      <c r="M159" s="28" t="str">
        <f aca="false">IF(E159="","",COUNT($E$5:E159))</f>
        <v/>
      </c>
      <c r="N159" s="28" t="str">
        <f aca="false">IF(F159="","",COUNT($F$5:F159))</f>
        <v/>
      </c>
      <c r="O159" s="28" t="str">
        <f aca="false">IF(H159="","",COUNT($H$5:H159))</f>
        <v/>
      </c>
    </row>
    <row r="160" customFormat="false" ht="15" hidden="false" customHeight="false" outlineLevel="0" collapsed="false">
      <c r="A160" s="26"/>
      <c r="B160" s="7" t="str">
        <f aca="false">IF(A160="","",INT((A160-'Tableau de bord'!$C$6)/7)+1)</f>
        <v/>
      </c>
      <c r="C160" s="3"/>
      <c r="D160" s="3"/>
      <c r="E160" s="3"/>
      <c r="F160" s="3"/>
      <c r="G160" s="3"/>
      <c r="H160" s="3"/>
      <c r="I160" s="3"/>
      <c r="J160" s="3"/>
      <c r="K160" s="3"/>
      <c r="L160" s="27"/>
      <c r="M160" s="28" t="str">
        <f aca="false">IF(E160="","",COUNT($E$5:E160))</f>
        <v/>
      </c>
      <c r="N160" s="28" t="str">
        <f aca="false">IF(F160="","",COUNT($F$5:F160))</f>
        <v/>
      </c>
      <c r="O160" s="28" t="str">
        <f aca="false">IF(H160="","",COUNT($H$5:H160))</f>
        <v/>
      </c>
    </row>
    <row r="161" customFormat="false" ht="15" hidden="false" customHeight="false" outlineLevel="0" collapsed="false">
      <c r="A161" s="26"/>
      <c r="B161" s="7" t="str">
        <f aca="false">IF(A161="","",INT((A161-'Tableau de bord'!$C$6)/7)+1)</f>
        <v/>
      </c>
      <c r="C161" s="3"/>
      <c r="D161" s="3"/>
      <c r="E161" s="3"/>
      <c r="F161" s="3"/>
      <c r="G161" s="3"/>
      <c r="H161" s="3"/>
      <c r="I161" s="3"/>
      <c r="J161" s="3"/>
      <c r="K161" s="3"/>
      <c r="L161" s="27"/>
      <c r="M161" s="28" t="str">
        <f aca="false">IF(E161="","",COUNT($E$5:E161))</f>
        <v/>
      </c>
      <c r="N161" s="28" t="str">
        <f aca="false">IF(F161="","",COUNT($F$5:F161))</f>
        <v/>
      </c>
      <c r="O161" s="28" t="str">
        <f aca="false">IF(H161="","",COUNT($H$5:H161))</f>
        <v/>
      </c>
    </row>
    <row r="162" customFormat="false" ht="15" hidden="false" customHeight="false" outlineLevel="0" collapsed="false">
      <c r="A162" s="26"/>
      <c r="B162" s="7" t="str">
        <f aca="false">IF(A162="","",INT((A162-'Tableau de bord'!$C$6)/7)+1)</f>
        <v/>
      </c>
      <c r="C162" s="3"/>
      <c r="D162" s="3"/>
      <c r="E162" s="3"/>
      <c r="F162" s="3"/>
      <c r="G162" s="3"/>
      <c r="H162" s="3"/>
      <c r="I162" s="3"/>
      <c r="J162" s="3"/>
      <c r="K162" s="3"/>
      <c r="L162" s="27"/>
      <c r="M162" s="28" t="str">
        <f aca="false">IF(E162="","",COUNT($E$5:E162))</f>
        <v/>
      </c>
      <c r="N162" s="28" t="str">
        <f aca="false">IF(F162="","",COUNT($F$5:F162))</f>
        <v/>
      </c>
      <c r="O162" s="28" t="str">
        <f aca="false">IF(H162="","",COUNT($H$5:H162))</f>
        <v/>
      </c>
    </row>
    <row r="163" customFormat="false" ht="15" hidden="false" customHeight="false" outlineLevel="0" collapsed="false">
      <c r="A163" s="26"/>
      <c r="B163" s="7" t="str">
        <f aca="false">IF(A163="","",INT((A163-'Tableau de bord'!$C$6)/7)+1)</f>
        <v/>
      </c>
      <c r="C163" s="3"/>
      <c r="D163" s="3"/>
      <c r="E163" s="3"/>
      <c r="F163" s="3"/>
      <c r="G163" s="3"/>
      <c r="H163" s="3"/>
      <c r="I163" s="3"/>
      <c r="J163" s="3"/>
      <c r="K163" s="3"/>
      <c r="L163" s="27"/>
      <c r="M163" s="28" t="str">
        <f aca="false">IF(E163="","",COUNT($E$5:E163))</f>
        <v/>
      </c>
      <c r="N163" s="28" t="str">
        <f aca="false">IF(F163="","",COUNT($F$5:F163))</f>
        <v/>
      </c>
      <c r="O163" s="28" t="str">
        <f aca="false">IF(H163="","",COUNT($H$5:H163))</f>
        <v/>
      </c>
    </row>
    <row r="164" customFormat="false" ht="15" hidden="false" customHeight="false" outlineLevel="0" collapsed="false">
      <c r="A164" s="26"/>
      <c r="B164" s="7" t="str">
        <f aca="false">IF(A164="","",INT((A164-'Tableau de bord'!$C$6)/7)+1)</f>
        <v/>
      </c>
      <c r="C164" s="3"/>
      <c r="D164" s="3"/>
      <c r="E164" s="3"/>
      <c r="F164" s="3"/>
      <c r="G164" s="3"/>
      <c r="H164" s="3"/>
      <c r="I164" s="3"/>
      <c r="J164" s="3"/>
      <c r="K164" s="3"/>
      <c r="L164" s="27"/>
      <c r="M164" s="28" t="str">
        <f aca="false">IF(E164="","",COUNT($E$5:E164))</f>
        <v/>
      </c>
      <c r="N164" s="28" t="str">
        <f aca="false">IF(F164="","",COUNT($F$5:F164))</f>
        <v/>
      </c>
      <c r="O164" s="28" t="str">
        <f aca="false">IF(H164="","",COUNT($H$5:H164))</f>
        <v/>
      </c>
    </row>
    <row r="165" customFormat="false" ht="15" hidden="false" customHeight="false" outlineLevel="0" collapsed="false">
      <c r="A165" s="26"/>
      <c r="B165" s="7" t="str">
        <f aca="false">IF(A165="","",INT((A165-'Tableau de bord'!$C$6)/7)+1)</f>
        <v/>
      </c>
      <c r="C165" s="3"/>
      <c r="D165" s="3"/>
      <c r="E165" s="3"/>
      <c r="F165" s="3"/>
      <c r="G165" s="3"/>
      <c r="H165" s="3"/>
      <c r="I165" s="3"/>
      <c r="J165" s="3"/>
      <c r="K165" s="3"/>
      <c r="L165" s="27"/>
      <c r="M165" s="28" t="str">
        <f aca="false">IF(E165="","",COUNT($E$5:E165))</f>
        <v/>
      </c>
      <c r="N165" s="28" t="str">
        <f aca="false">IF(F165="","",COUNT($F$5:F165))</f>
        <v/>
      </c>
      <c r="O165" s="28" t="str">
        <f aca="false">IF(H165="","",COUNT($H$5:H165))</f>
        <v/>
      </c>
    </row>
    <row r="166" customFormat="false" ht="15" hidden="false" customHeight="false" outlineLevel="0" collapsed="false">
      <c r="A166" s="26"/>
      <c r="B166" s="7" t="str">
        <f aca="false">IF(A166="","",INT((A166-'Tableau de bord'!$C$6)/7)+1)</f>
        <v/>
      </c>
      <c r="C166" s="3"/>
      <c r="D166" s="3"/>
      <c r="E166" s="3"/>
      <c r="F166" s="3"/>
      <c r="G166" s="3"/>
      <c r="H166" s="3"/>
      <c r="I166" s="3"/>
      <c r="J166" s="3"/>
      <c r="K166" s="3"/>
      <c r="L166" s="27"/>
      <c r="M166" s="28" t="str">
        <f aca="false">IF(E166="","",COUNT($E$5:E166))</f>
        <v/>
      </c>
      <c r="N166" s="28" t="str">
        <f aca="false">IF(F166="","",COUNT($F$5:F166))</f>
        <v/>
      </c>
      <c r="O166" s="28" t="str">
        <f aca="false">IF(H166="","",COUNT($H$5:H166))</f>
        <v/>
      </c>
    </row>
    <row r="167" customFormat="false" ht="15" hidden="false" customHeight="false" outlineLevel="0" collapsed="false">
      <c r="A167" s="26"/>
      <c r="B167" s="7" t="str">
        <f aca="false">IF(A167="","",INT((A167-'Tableau de bord'!$C$6)/7)+1)</f>
        <v/>
      </c>
      <c r="C167" s="3"/>
      <c r="D167" s="3"/>
      <c r="E167" s="3"/>
      <c r="F167" s="3"/>
      <c r="G167" s="3"/>
      <c r="H167" s="3"/>
      <c r="I167" s="3"/>
      <c r="J167" s="3"/>
      <c r="K167" s="3"/>
      <c r="L167" s="27"/>
      <c r="M167" s="28" t="str">
        <f aca="false">IF(E167="","",COUNT($E$5:E167))</f>
        <v/>
      </c>
      <c r="N167" s="28" t="str">
        <f aca="false">IF(F167="","",COUNT($F$5:F167))</f>
        <v/>
      </c>
      <c r="O167" s="28" t="str">
        <f aca="false">IF(H167="","",COUNT($H$5:H167))</f>
        <v/>
      </c>
    </row>
    <row r="168" customFormat="false" ht="15" hidden="false" customHeight="false" outlineLevel="0" collapsed="false">
      <c r="A168" s="26"/>
      <c r="B168" s="7" t="str">
        <f aca="false">IF(A168="","",INT((A168-'Tableau de bord'!$C$6)/7)+1)</f>
        <v/>
      </c>
      <c r="C168" s="3"/>
      <c r="D168" s="3"/>
      <c r="E168" s="3"/>
      <c r="F168" s="3"/>
      <c r="G168" s="3"/>
      <c r="H168" s="3"/>
      <c r="I168" s="3"/>
      <c r="J168" s="3"/>
      <c r="K168" s="3"/>
      <c r="L168" s="27"/>
      <c r="M168" s="28" t="str">
        <f aca="false">IF(E168="","",COUNT($E$5:E168))</f>
        <v/>
      </c>
      <c r="N168" s="28" t="str">
        <f aca="false">IF(F168="","",COUNT($F$5:F168))</f>
        <v/>
      </c>
      <c r="O168" s="28" t="str">
        <f aca="false">IF(H168="","",COUNT($H$5:H168))</f>
        <v/>
      </c>
    </row>
    <row r="169" customFormat="false" ht="15" hidden="false" customHeight="false" outlineLevel="0" collapsed="false">
      <c r="A169" s="26"/>
      <c r="B169" s="7" t="str">
        <f aca="false">IF(A169="","",INT((A169-'Tableau de bord'!$C$6)/7)+1)</f>
        <v/>
      </c>
      <c r="C169" s="3"/>
      <c r="D169" s="3"/>
      <c r="E169" s="3"/>
      <c r="F169" s="3"/>
      <c r="G169" s="3"/>
      <c r="H169" s="3"/>
      <c r="I169" s="3"/>
      <c r="J169" s="3"/>
      <c r="K169" s="3"/>
      <c r="L169" s="27"/>
      <c r="M169" s="28" t="str">
        <f aca="false">IF(E169="","",COUNT($E$5:E169))</f>
        <v/>
      </c>
      <c r="N169" s="28" t="str">
        <f aca="false">IF(F169="","",COUNT($F$5:F169))</f>
        <v/>
      </c>
      <c r="O169" s="28" t="str">
        <f aca="false">IF(H169="","",COUNT($H$5:H169))</f>
        <v/>
      </c>
    </row>
    <row r="170" customFormat="false" ht="15" hidden="false" customHeight="false" outlineLevel="0" collapsed="false">
      <c r="A170" s="26"/>
      <c r="B170" s="7" t="str">
        <f aca="false">IF(A170="","",INT((A170-'Tableau de bord'!$C$6)/7)+1)</f>
        <v/>
      </c>
      <c r="C170" s="3"/>
      <c r="D170" s="3"/>
      <c r="E170" s="3"/>
      <c r="F170" s="3"/>
      <c r="G170" s="3"/>
      <c r="H170" s="3"/>
      <c r="I170" s="3"/>
      <c r="J170" s="3"/>
      <c r="K170" s="3"/>
      <c r="L170" s="27"/>
      <c r="M170" s="28" t="str">
        <f aca="false">IF(E170="","",COUNT($E$5:E170))</f>
        <v/>
      </c>
      <c r="N170" s="28" t="str">
        <f aca="false">IF(F170="","",COUNT($F$5:F170))</f>
        <v/>
      </c>
      <c r="O170" s="28" t="str">
        <f aca="false">IF(H170="","",COUNT($H$5:H170))</f>
        <v/>
      </c>
    </row>
    <row r="171" customFormat="false" ht="15" hidden="false" customHeight="false" outlineLevel="0" collapsed="false">
      <c r="A171" s="26"/>
      <c r="B171" s="7" t="str">
        <f aca="false">IF(A171="","",INT((A171-'Tableau de bord'!$C$6)/7)+1)</f>
        <v/>
      </c>
      <c r="C171" s="3"/>
      <c r="D171" s="3"/>
      <c r="E171" s="3"/>
      <c r="F171" s="3"/>
      <c r="G171" s="3"/>
      <c r="H171" s="3"/>
      <c r="I171" s="3"/>
      <c r="J171" s="3"/>
      <c r="K171" s="3"/>
      <c r="L171" s="27"/>
      <c r="M171" s="28" t="str">
        <f aca="false">IF(E171="","",COUNT($E$5:E171))</f>
        <v/>
      </c>
      <c r="N171" s="28" t="str">
        <f aca="false">IF(F171="","",COUNT($F$5:F171))</f>
        <v/>
      </c>
      <c r="O171" s="28" t="str">
        <f aca="false">IF(H171="","",COUNT($H$5:H171))</f>
        <v/>
      </c>
    </row>
    <row r="172" customFormat="false" ht="15" hidden="false" customHeight="false" outlineLevel="0" collapsed="false">
      <c r="A172" s="26"/>
      <c r="B172" s="7" t="str">
        <f aca="false">IF(A172="","",INT((A172-'Tableau de bord'!$C$6)/7)+1)</f>
        <v/>
      </c>
      <c r="C172" s="3"/>
      <c r="D172" s="3"/>
      <c r="E172" s="3"/>
      <c r="F172" s="3"/>
      <c r="G172" s="3"/>
      <c r="H172" s="3"/>
      <c r="I172" s="3"/>
      <c r="J172" s="3"/>
      <c r="K172" s="3"/>
      <c r="L172" s="27"/>
      <c r="M172" s="28" t="str">
        <f aca="false">IF(E172="","",COUNT($E$5:E172))</f>
        <v/>
      </c>
      <c r="N172" s="28" t="str">
        <f aca="false">IF(F172="","",COUNT($F$5:F172))</f>
        <v/>
      </c>
      <c r="O172" s="28" t="str">
        <f aca="false">IF(H172="","",COUNT($H$5:H172))</f>
        <v/>
      </c>
    </row>
    <row r="173" customFormat="false" ht="15" hidden="false" customHeight="false" outlineLevel="0" collapsed="false">
      <c r="A173" s="26"/>
      <c r="B173" s="7" t="str">
        <f aca="false">IF(A173="","",INT((A173-'Tableau de bord'!$C$6)/7)+1)</f>
        <v/>
      </c>
      <c r="C173" s="3"/>
      <c r="D173" s="3"/>
      <c r="E173" s="3"/>
      <c r="F173" s="3"/>
      <c r="G173" s="3"/>
      <c r="H173" s="3"/>
      <c r="I173" s="3"/>
      <c r="J173" s="3"/>
      <c r="K173" s="3"/>
      <c r="L173" s="27"/>
      <c r="M173" s="28" t="str">
        <f aca="false">IF(E173="","",COUNT($E$5:E173))</f>
        <v/>
      </c>
      <c r="N173" s="28" t="str">
        <f aca="false">IF(F173="","",COUNT($F$5:F173))</f>
        <v/>
      </c>
      <c r="O173" s="28" t="str">
        <f aca="false">IF(H173="","",COUNT($H$5:H173))</f>
        <v/>
      </c>
    </row>
    <row r="174" customFormat="false" ht="15" hidden="false" customHeight="false" outlineLevel="0" collapsed="false">
      <c r="A174" s="26"/>
      <c r="B174" s="7" t="str">
        <f aca="false">IF(A174="","",INT((A174-'Tableau de bord'!$C$6)/7)+1)</f>
        <v/>
      </c>
      <c r="C174" s="3"/>
      <c r="D174" s="3"/>
      <c r="E174" s="3"/>
      <c r="F174" s="3"/>
      <c r="G174" s="3"/>
      <c r="H174" s="3"/>
      <c r="I174" s="3"/>
      <c r="J174" s="3"/>
      <c r="K174" s="3"/>
      <c r="L174" s="27"/>
      <c r="M174" s="28" t="str">
        <f aca="false">IF(E174="","",COUNT($E$5:E174))</f>
        <v/>
      </c>
      <c r="N174" s="28" t="str">
        <f aca="false">IF(F174="","",COUNT($F$5:F174))</f>
        <v/>
      </c>
      <c r="O174" s="28" t="str">
        <f aca="false">IF(H174="","",COUNT($H$5:H174))</f>
        <v/>
      </c>
    </row>
    <row r="175" customFormat="false" ht="15" hidden="false" customHeight="false" outlineLevel="0" collapsed="false">
      <c r="A175" s="26"/>
      <c r="B175" s="7" t="str">
        <f aca="false">IF(A175="","",INT((A175-'Tableau de bord'!$C$6)/7)+1)</f>
        <v/>
      </c>
      <c r="C175" s="3"/>
      <c r="D175" s="3"/>
      <c r="E175" s="3"/>
      <c r="F175" s="3"/>
      <c r="G175" s="3"/>
      <c r="H175" s="3"/>
      <c r="I175" s="3"/>
      <c r="J175" s="3"/>
      <c r="K175" s="3"/>
      <c r="L175" s="27"/>
      <c r="M175" s="28" t="str">
        <f aca="false">IF(E175="","",COUNT($E$5:E175))</f>
        <v/>
      </c>
      <c r="N175" s="28" t="str">
        <f aca="false">IF(F175="","",COUNT($F$5:F175))</f>
        <v/>
      </c>
      <c r="O175" s="28" t="str">
        <f aca="false">IF(H175="","",COUNT($H$5:H175))</f>
        <v/>
      </c>
    </row>
    <row r="176" customFormat="false" ht="15" hidden="false" customHeight="false" outlineLevel="0" collapsed="false">
      <c r="A176" s="26"/>
      <c r="B176" s="7" t="str">
        <f aca="false">IF(A176="","",INT((A176-'Tableau de bord'!$C$6)/7)+1)</f>
        <v/>
      </c>
      <c r="C176" s="3"/>
      <c r="D176" s="3"/>
      <c r="E176" s="3"/>
      <c r="F176" s="3"/>
      <c r="G176" s="3"/>
      <c r="H176" s="3"/>
      <c r="I176" s="3"/>
      <c r="J176" s="3"/>
      <c r="K176" s="3"/>
      <c r="L176" s="27"/>
      <c r="M176" s="28" t="str">
        <f aca="false">IF(E176="","",COUNT($E$5:E176))</f>
        <v/>
      </c>
      <c r="N176" s="28" t="str">
        <f aca="false">IF(F176="","",COUNT($F$5:F176))</f>
        <v/>
      </c>
      <c r="O176" s="28" t="str">
        <f aca="false">IF(H176="","",COUNT($H$5:H176))</f>
        <v/>
      </c>
    </row>
    <row r="177" customFormat="false" ht="15" hidden="false" customHeight="false" outlineLevel="0" collapsed="false">
      <c r="A177" s="26"/>
      <c r="B177" s="7" t="str">
        <f aca="false">IF(A177="","",INT((A177-'Tableau de bord'!$C$6)/7)+1)</f>
        <v/>
      </c>
      <c r="C177" s="3"/>
      <c r="D177" s="3"/>
      <c r="E177" s="3"/>
      <c r="F177" s="3"/>
      <c r="G177" s="3"/>
      <c r="H177" s="3"/>
      <c r="I177" s="3"/>
      <c r="J177" s="3"/>
      <c r="K177" s="3"/>
      <c r="L177" s="27"/>
      <c r="M177" s="28" t="str">
        <f aca="false">IF(E177="","",COUNT($E$5:E177))</f>
        <v/>
      </c>
      <c r="N177" s="28" t="str">
        <f aca="false">IF(F177="","",COUNT($F$5:F177))</f>
        <v/>
      </c>
      <c r="O177" s="28" t="str">
        <f aca="false">IF(H177="","",COUNT($H$5:H177))</f>
        <v/>
      </c>
    </row>
    <row r="178" customFormat="false" ht="15" hidden="false" customHeight="false" outlineLevel="0" collapsed="false">
      <c r="A178" s="26"/>
      <c r="B178" s="7" t="str">
        <f aca="false">IF(A178="","",INT((A178-'Tableau de bord'!$C$6)/7)+1)</f>
        <v/>
      </c>
      <c r="C178" s="3"/>
      <c r="D178" s="3"/>
      <c r="E178" s="3"/>
      <c r="F178" s="3"/>
      <c r="G178" s="3"/>
      <c r="H178" s="3"/>
      <c r="I178" s="3"/>
      <c r="J178" s="3"/>
      <c r="K178" s="3"/>
      <c r="L178" s="27"/>
      <c r="M178" s="28" t="str">
        <f aca="false">IF(E178="","",COUNT($E$5:E178))</f>
        <v/>
      </c>
      <c r="N178" s="28" t="str">
        <f aca="false">IF(F178="","",COUNT($F$5:F178))</f>
        <v/>
      </c>
      <c r="O178" s="28" t="str">
        <f aca="false">IF(H178="","",COUNT($H$5:H178))</f>
        <v/>
      </c>
    </row>
    <row r="179" customFormat="false" ht="15" hidden="false" customHeight="false" outlineLevel="0" collapsed="false">
      <c r="A179" s="26"/>
      <c r="B179" s="7" t="str">
        <f aca="false">IF(A179="","",INT((A179-'Tableau de bord'!$C$6)/7)+1)</f>
        <v/>
      </c>
      <c r="C179" s="3"/>
      <c r="D179" s="3"/>
      <c r="E179" s="3"/>
      <c r="F179" s="3"/>
      <c r="G179" s="3"/>
      <c r="H179" s="3"/>
      <c r="I179" s="3"/>
      <c r="J179" s="3"/>
      <c r="K179" s="3"/>
      <c r="L179" s="27"/>
      <c r="M179" s="28" t="str">
        <f aca="false">IF(E179="","",COUNT($E$5:E179))</f>
        <v/>
      </c>
      <c r="N179" s="28" t="str">
        <f aca="false">IF(F179="","",COUNT($F$5:F179))</f>
        <v/>
      </c>
      <c r="O179" s="28" t="str">
        <f aca="false">IF(H179="","",COUNT($H$5:H179))</f>
        <v/>
      </c>
    </row>
    <row r="180" customFormat="false" ht="15" hidden="false" customHeight="false" outlineLevel="0" collapsed="false">
      <c r="A180" s="26"/>
      <c r="B180" s="7" t="str">
        <f aca="false">IF(A180="","",INT((A180-'Tableau de bord'!$C$6)/7)+1)</f>
        <v/>
      </c>
      <c r="C180" s="3"/>
      <c r="D180" s="3"/>
      <c r="E180" s="3"/>
      <c r="F180" s="3"/>
      <c r="G180" s="3"/>
      <c r="H180" s="3"/>
      <c r="I180" s="3"/>
      <c r="J180" s="3"/>
      <c r="K180" s="3"/>
      <c r="L180" s="27"/>
      <c r="M180" s="28" t="str">
        <f aca="false">IF(E180="","",COUNT($E$5:E180))</f>
        <v/>
      </c>
      <c r="N180" s="28" t="str">
        <f aca="false">IF(F180="","",COUNT($F$5:F180))</f>
        <v/>
      </c>
      <c r="O180" s="28" t="str">
        <f aca="false">IF(H180="","",COUNT($H$5:H180))</f>
        <v/>
      </c>
    </row>
    <row r="181" customFormat="false" ht="15" hidden="false" customHeight="false" outlineLevel="0" collapsed="false">
      <c r="A181" s="26"/>
      <c r="B181" s="7" t="str">
        <f aca="false">IF(A181="","",INT((A181-'Tableau de bord'!$C$6)/7)+1)</f>
        <v/>
      </c>
      <c r="C181" s="3"/>
      <c r="D181" s="3"/>
      <c r="E181" s="3"/>
      <c r="F181" s="3"/>
      <c r="G181" s="3"/>
      <c r="H181" s="3"/>
      <c r="I181" s="3"/>
      <c r="J181" s="3"/>
      <c r="K181" s="3"/>
      <c r="L181" s="27"/>
      <c r="M181" s="28" t="str">
        <f aca="false">IF(E181="","",COUNT($E$5:E181))</f>
        <v/>
      </c>
      <c r="N181" s="28" t="str">
        <f aca="false">IF(F181="","",COUNT($F$5:F181))</f>
        <v/>
      </c>
      <c r="O181" s="28" t="str">
        <f aca="false">IF(H181="","",COUNT($H$5:H181))</f>
        <v/>
      </c>
    </row>
    <row r="182" customFormat="false" ht="15" hidden="false" customHeight="false" outlineLevel="0" collapsed="false">
      <c r="A182" s="26"/>
      <c r="B182" s="7" t="str">
        <f aca="false">IF(A182="","",INT((A182-'Tableau de bord'!$C$6)/7)+1)</f>
        <v/>
      </c>
      <c r="C182" s="3"/>
      <c r="D182" s="3"/>
      <c r="E182" s="3"/>
      <c r="F182" s="3"/>
      <c r="G182" s="3"/>
      <c r="H182" s="3"/>
      <c r="I182" s="3"/>
      <c r="J182" s="3"/>
      <c r="K182" s="3"/>
      <c r="L182" s="27"/>
      <c r="M182" s="28" t="str">
        <f aca="false">IF(E182="","",COUNT($E$5:E182))</f>
        <v/>
      </c>
      <c r="N182" s="28" t="str">
        <f aca="false">IF(F182="","",COUNT($F$5:F182))</f>
        <v/>
      </c>
      <c r="O182" s="28" t="str">
        <f aca="false">IF(H182="","",COUNT($H$5:H182))</f>
        <v/>
      </c>
    </row>
    <row r="183" customFormat="false" ht="15" hidden="false" customHeight="false" outlineLevel="0" collapsed="false">
      <c r="A183" s="26"/>
      <c r="B183" s="7" t="str">
        <f aca="false">IF(A183="","",INT((A183-'Tableau de bord'!$C$6)/7)+1)</f>
        <v/>
      </c>
      <c r="C183" s="3"/>
      <c r="D183" s="3"/>
      <c r="E183" s="3"/>
      <c r="F183" s="3"/>
      <c r="G183" s="3"/>
      <c r="H183" s="3"/>
      <c r="I183" s="3"/>
      <c r="J183" s="3"/>
      <c r="K183" s="3"/>
      <c r="L183" s="27"/>
      <c r="M183" s="28" t="str">
        <f aca="false">IF(E183="","",COUNT($E$5:E183))</f>
        <v/>
      </c>
      <c r="N183" s="28" t="str">
        <f aca="false">IF(F183="","",COUNT($F$5:F183))</f>
        <v/>
      </c>
      <c r="O183" s="28" t="str">
        <f aca="false">IF(H183="","",COUNT($H$5:H183))</f>
        <v/>
      </c>
    </row>
    <row r="184" customFormat="false" ht="15" hidden="false" customHeight="false" outlineLevel="0" collapsed="false">
      <c r="A184" s="26"/>
      <c r="B184" s="7" t="str">
        <f aca="false">IF(A184="","",INT((A184-'Tableau de bord'!$C$6)/7)+1)</f>
        <v/>
      </c>
      <c r="C184" s="3"/>
      <c r="D184" s="3"/>
      <c r="E184" s="3"/>
      <c r="F184" s="3"/>
      <c r="G184" s="3"/>
      <c r="H184" s="3"/>
      <c r="I184" s="3"/>
      <c r="J184" s="3"/>
      <c r="K184" s="3"/>
      <c r="L184" s="27"/>
      <c r="M184" s="28" t="str">
        <f aca="false">IF(E184="","",COUNT($E$5:E184))</f>
        <v/>
      </c>
      <c r="N184" s="28" t="str">
        <f aca="false">IF(F184="","",COUNT($F$5:F184))</f>
        <v/>
      </c>
      <c r="O184" s="28" t="str">
        <f aca="false">IF(H184="","",COUNT($H$5:H184))</f>
        <v/>
      </c>
    </row>
    <row r="185" customFormat="false" ht="15" hidden="false" customHeight="false" outlineLevel="0" collapsed="false">
      <c r="A185" s="26"/>
      <c r="B185" s="7" t="str">
        <f aca="false">IF(A185="","",INT((A185-'Tableau de bord'!$C$6)/7)+1)</f>
        <v/>
      </c>
      <c r="C185" s="3"/>
      <c r="D185" s="3"/>
      <c r="E185" s="3"/>
      <c r="F185" s="3"/>
      <c r="G185" s="3"/>
      <c r="H185" s="3"/>
      <c r="I185" s="3"/>
      <c r="J185" s="3"/>
      <c r="K185" s="3"/>
      <c r="L185" s="27"/>
      <c r="M185" s="28" t="str">
        <f aca="false">IF(E185="","",COUNT($E$5:E185))</f>
        <v/>
      </c>
      <c r="N185" s="28" t="str">
        <f aca="false">IF(F185="","",COUNT($F$5:F185))</f>
        <v/>
      </c>
      <c r="O185" s="28" t="str">
        <f aca="false">IF(H185="","",COUNT($H$5:H185))</f>
        <v/>
      </c>
    </row>
    <row r="186" customFormat="false" ht="15" hidden="false" customHeight="false" outlineLevel="0" collapsed="false">
      <c r="A186" s="26"/>
      <c r="B186" s="7" t="str">
        <f aca="false">IF(A186="","",INT((A186-'Tableau de bord'!$C$6)/7)+1)</f>
        <v/>
      </c>
      <c r="C186" s="3"/>
      <c r="D186" s="3"/>
      <c r="E186" s="3"/>
      <c r="F186" s="3"/>
      <c r="G186" s="3"/>
      <c r="H186" s="3"/>
      <c r="I186" s="3"/>
      <c r="J186" s="3"/>
      <c r="K186" s="3"/>
      <c r="L186" s="27"/>
      <c r="M186" s="28" t="str">
        <f aca="false">IF(E186="","",COUNT($E$5:E186))</f>
        <v/>
      </c>
      <c r="N186" s="28" t="str">
        <f aca="false">IF(F186="","",COUNT($F$5:F186))</f>
        <v/>
      </c>
      <c r="O186" s="28" t="str">
        <f aca="false">IF(H186="","",COUNT($H$5:H186))</f>
        <v/>
      </c>
    </row>
    <row r="187" customFormat="false" ht="15" hidden="false" customHeight="false" outlineLevel="0" collapsed="false">
      <c r="A187" s="26"/>
      <c r="B187" s="7" t="str">
        <f aca="false">IF(A187="","",INT((A187-'Tableau de bord'!$C$6)/7)+1)</f>
        <v/>
      </c>
      <c r="C187" s="3"/>
      <c r="D187" s="3"/>
      <c r="E187" s="3"/>
      <c r="F187" s="3"/>
      <c r="G187" s="3"/>
      <c r="H187" s="3"/>
      <c r="I187" s="3"/>
      <c r="J187" s="3"/>
      <c r="K187" s="3"/>
      <c r="L187" s="27"/>
      <c r="M187" s="28" t="str">
        <f aca="false">IF(E187="","",COUNT($E$5:E187))</f>
        <v/>
      </c>
      <c r="N187" s="28" t="str">
        <f aca="false">IF(F187="","",COUNT($F$5:F187))</f>
        <v/>
      </c>
      <c r="O187" s="28" t="str">
        <f aca="false">IF(H187="","",COUNT($H$5:H187))</f>
        <v/>
      </c>
    </row>
    <row r="188" customFormat="false" ht="15" hidden="false" customHeight="false" outlineLevel="0" collapsed="false">
      <c r="A188" s="26"/>
      <c r="B188" s="7" t="str">
        <f aca="false">IF(A188="","",INT((A188-'Tableau de bord'!$C$6)/7)+1)</f>
        <v/>
      </c>
      <c r="C188" s="3"/>
      <c r="D188" s="3"/>
      <c r="E188" s="3"/>
      <c r="F188" s="3"/>
      <c r="G188" s="3"/>
      <c r="H188" s="3"/>
      <c r="I188" s="3"/>
      <c r="J188" s="3"/>
      <c r="K188" s="3"/>
      <c r="L188" s="27"/>
      <c r="M188" s="28" t="str">
        <f aca="false">IF(E188="","",COUNT($E$5:E188))</f>
        <v/>
      </c>
      <c r="N188" s="28" t="str">
        <f aca="false">IF(F188="","",COUNT($F$5:F188))</f>
        <v/>
      </c>
      <c r="O188" s="28" t="str">
        <f aca="false">IF(H188="","",COUNT($H$5:H188))</f>
        <v/>
      </c>
    </row>
    <row r="189" customFormat="false" ht="15" hidden="false" customHeight="false" outlineLevel="0" collapsed="false">
      <c r="A189" s="26"/>
      <c r="B189" s="7" t="str">
        <f aca="false">IF(A189="","",INT((A189-'Tableau de bord'!$C$6)/7)+1)</f>
        <v/>
      </c>
      <c r="C189" s="3"/>
      <c r="D189" s="3"/>
      <c r="E189" s="3"/>
      <c r="F189" s="3"/>
      <c r="G189" s="3"/>
      <c r="H189" s="3"/>
      <c r="I189" s="3"/>
      <c r="J189" s="3"/>
      <c r="K189" s="3"/>
      <c r="L189" s="27"/>
      <c r="M189" s="28" t="str">
        <f aca="false">IF(E189="","",COUNT($E$5:E189))</f>
        <v/>
      </c>
      <c r="N189" s="28" t="str">
        <f aca="false">IF(F189="","",COUNT($F$5:F189))</f>
        <v/>
      </c>
      <c r="O189" s="28" t="str">
        <f aca="false">IF(H189="","",COUNT($H$5:H189))</f>
        <v/>
      </c>
    </row>
    <row r="190" customFormat="false" ht="15" hidden="false" customHeight="false" outlineLevel="0" collapsed="false">
      <c r="A190" s="26"/>
      <c r="B190" s="7" t="str">
        <f aca="false">IF(A190="","",INT((A190-'Tableau de bord'!$C$6)/7)+1)</f>
        <v/>
      </c>
      <c r="C190" s="3"/>
      <c r="D190" s="3"/>
      <c r="E190" s="3"/>
      <c r="F190" s="3"/>
      <c r="G190" s="3"/>
      <c r="H190" s="3"/>
      <c r="I190" s="3"/>
      <c r="J190" s="3"/>
      <c r="K190" s="3"/>
      <c r="L190" s="27"/>
      <c r="M190" s="28" t="str">
        <f aca="false">IF(E190="","",COUNT($E$5:E190))</f>
        <v/>
      </c>
      <c r="N190" s="28" t="str">
        <f aca="false">IF(F190="","",COUNT($F$5:F190))</f>
        <v/>
      </c>
      <c r="O190" s="28" t="str">
        <f aca="false">IF(H190="","",COUNT($H$5:H190))</f>
        <v/>
      </c>
    </row>
    <row r="191" customFormat="false" ht="15" hidden="false" customHeight="false" outlineLevel="0" collapsed="false">
      <c r="A191" s="26"/>
      <c r="B191" s="7" t="str">
        <f aca="false">IF(A191="","",INT((A191-'Tableau de bord'!$C$6)/7)+1)</f>
        <v/>
      </c>
      <c r="C191" s="3"/>
      <c r="D191" s="3"/>
      <c r="E191" s="3"/>
      <c r="F191" s="3"/>
      <c r="G191" s="3"/>
      <c r="H191" s="3"/>
      <c r="I191" s="3"/>
      <c r="J191" s="3"/>
      <c r="K191" s="3"/>
      <c r="L191" s="27"/>
      <c r="M191" s="28" t="str">
        <f aca="false">IF(E191="","",COUNT($E$5:E191))</f>
        <v/>
      </c>
      <c r="N191" s="28" t="str">
        <f aca="false">IF(F191="","",COUNT($F$5:F191))</f>
        <v/>
      </c>
      <c r="O191" s="28" t="str">
        <f aca="false">IF(H191="","",COUNT($H$5:H191))</f>
        <v/>
      </c>
    </row>
    <row r="192" customFormat="false" ht="15" hidden="false" customHeight="false" outlineLevel="0" collapsed="false">
      <c r="A192" s="26"/>
      <c r="B192" s="7" t="str">
        <f aca="false">IF(A192="","",INT((A192-'Tableau de bord'!$C$6)/7)+1)</f>
        <v/>
      </c>
      <c r="C192" s="3"/>
      <c r="D192" s="3"/>
      <c r="E192" s="3"/>
      <c r="F192" s="3"/>
      <c r="G192" s="3"/>
      <c r="H192" s="3"/>
      <c r="I192" s="3"/>
      <c r="J192" s="3"/>
      <c r="K192" s="3"/>
      <c r="L192" s="27"/>
      <c r="M192" s="28" t="str">
        <f aca="false">IF(E192="","",COUNT($E$5:E192))</f>
        <v/>
      </c>
      <c r="N192" s="28" t="str">
        <f aca="false">IF(F192="","",COUNT($F$5:F192))</f>
        <v/>
      </c>
      <c r="O192" s="28" t="str">
        <f aca="false">IF(H192="","",COUNT($H$5:H192))</f>
        <v/>
      </c>
    </row>
    <row r="193" customFormat="false" ht="15" hidden="false" customHeight="false" outlineLevel="0" collapsed="false">
      <c r="A193" s="26"/>
      <c r="B193" s="7" t="str">
        <f aca="false">IF(A193="","",INT((A193-'Tableau de bord'!$C$6)/7)+1)</f>
        <v/>
      </c>
      <c r="C193" s="3"/>
      <c r="D193" s="3"/>
      <c r="E193" s="3"/>
      <c r="F193" s="3"/>
      <c r="G193" s="3"/>
      <c r="H193" s="3"/>
      <c r="I193" s="3"/>
      <c r="J193" s="3"/>
      <c r="K193" s="3"/>
      <c r="L193" s="27"/>
      <c r="M193" s="28" t="str">
        <f aca="false">IF(E193="","",COUNT($E$5:E193))</f>
        <v/>
      </c>
      <c r="N193" s="28" t="str">
        <f aca="false">IF(F193="","",COUNT($F$5:F193))</f>
        <v/>
      </c>
      <c r="O193" s="28" t="str">
        <f aca="false">IF(H193="","",COUNT($H$5:H193))</f>
        <v/>
      </c>
    </row>
    <row r="194" customFormat="false" ht="15" hidden="false" customHeight="false" outlineLevel="0" collapsed="false">
      <c r="A194" s="26"/>
      <c r="B194" s="7" t="str">
        <f aca="false">IF(A194="","",INT((A194-'Tableau de bord'!$C$6)/7)+1)</f>
        <v/>
      </c>
      <c r="C194" s="3"/>
      <c r="D194" s="3"/>
      <c r="E194" s="3"/>
      <c r="F194" s="3"/>
      <c r="G194" s="3"/>
      <c r="H194" s="3"/>
      <c r="I194" s="3"/>
      <c r="J194" s="3"/>
      <c r="K194" s="3"/>
      <c r="L194" s="27"/>
      <c r="M194" s="28" t="str">
        <f aca="false">IF(E194="","",COUNT($E$5:E194))</f>
        <v/>
      </c>
      <c r="N194" s="28" t="str">
        <f aca="false">IF(F194="","",COUNT($F$5:F194))</f>
        <v/>
      </c>
      <c r="O194" s="28" t="str">
        <f aca="false">IF(H194="","",COUNT($H$5:H194))</f>
        <v/>
      </c>
    </row>
    <row r="195" customFormat="false" ht="15" hidden="false" customHeight="false" outlineLevel="0" collapsed="false">
      <c r="A195" s="26"/>
      <c r="B195" s="7" t="str">
        <f aca="false">IF(A195="","",INT((A195-'Tableau de bord'!$C$6)/7)+1)</f>
        <v/>
      </c>
      <c r="C195" s="3"/>
      <c r="D195" s="3"/>
      <c r="E195" s="3"/>
      <c r="F195" s="3"/>
      <c r="G195" s="3"/>
      <c r="H195" s="3"/>
      <c r="I195" s="3"/>
      <c r="J195" s="3"/>
      <c r="K195" s="3"/>
      <c r="L195" s="27"/>
      <c r="M195" s="28" t="str">
        <f aca="false">IF(E195="","",COUNT($E$5:E195))</f>
        <v/>
      </c>
      <c r="N195" s="28" t="str">
        <f aca="false">IF(F195="","",COUNT($F$5:F195))</f>
        <v/>
      </c>
      <c r="O195" s="28" t="str">
        <f aca="false">IF(H195="","",COUNT($H$5:H195))</f>
        <v/>
      </c>
    </row>
    <row r="196" customFormat="false" ht="15" hidden="false" customHeight="false" outlineLevel="0" collapsed="false">
      <c r="A196" s="26"/>
      <c r="B196" s="7" t="str">
        <f aca="false">IF(A196="","",INT((A196-'Tableau de bord'!$C$6)/7)+1)</f>
        <v/>
      </c>
      <c r="C196" s="3"/>
      <c r="D196" s="3"/>
      <c r="E196" s="3"/>
      <c r="F196" s="3"/>
      <c r="G196" s="3"/>
      <c r="H196" s="3"/>
      <c r="I196" s="3"/>
      <c r="J196" s="3"/>
      <c r="K196" s="3"/>
      <c r="L196" s="27"/>
      <c r="M196" s="28" t="str">
        <f aca="false">IF(E196="","",COUNT($E$5:E196))</f>
        <v/>
      </c>
      <c r="N196" s="28" t="str">
        <f aca="false">IF(F196="","",COUNT($F$5:F196))</f>
        <v/>
      </c>
      <c r="O196" s="28" t="str">
        <f aca="false">IF(H196="","",COUNT($H$5:H196))</f>
        <v/>
      </c>
    </row>
    <row r="197" customFormat="false" ht="15" hidden="false" customHeight="false" outlineLevel="0" collapsed="false">
      <c r="A197" s="26"/>
      <c r="B197" s="7" t="str">
        <f aca="false">IF(A197="","",INT((A197-'Tableau de bord'!$C$6)/7)+1)</f>
        <v/>
      </c>
      <c r="C197" s="3"/>
      <c r="D197" s="3"/>
      <c r="E197" s="3"/>
      <c r="F197" s="3"/>
      <c r="G197" s="3"/>
      <c r="H197" s="3"/>
      <c r="I197" s="3"/>
      <c r="J197" s="3"/>
      <c r="K197" s="3"/>
      <c r="L197" s="27"/>
      <c r="M197" s="28" t="str">
        <f aca="false">IF(E197="","",COUNT($E$5:E197))</f>
        <v/>
      </c>
      <c r="N197" s="28" t="str">
        <f aca="false">IF(F197="","",COUNT($F$5:F197))</f>
        <v/>
      </c>
      <c r="O197" s="28" t="str">
        <f aca="false">IF(H197="","",COUNT($H$5:H197))</f>
        <v/>
      </c>
    </row>
    <row r="198" customFormat="false" ht="15" hidden="false" customHeight="false" outlineLevel="0" collapsed="false">
      <c r="A198" s="26"/>
      <c r="B198" s="7" t="str">
        <f aca="false">IF(A198="","",INT((A198-'Tableau de bord'!$C$6)/7)+1)</f>
        <v/>
      </c>
      <c r="C198" s="3"/>
      <c r="D198" s="3"/>
      <c r="E198" s="3"/>
      <c r="F198" s="3"/>
      <c r="G198" s="3"/>
      <c r="H198" s="3"/>
      <c r="I198" s="3"/>
      <c r="J198" s="3"/>
      <c r="K198" s="3"/>
      <c r="L198" s="27"/>
      <c r="M198" s="28" t="str">
        <f aca="false">IF(E198="","",COUNT($E$5:E198))</f>
        <v/>
      </c>
      <c r="N198" s="28" t="str">
        <f aca="false">IF(F198="","",COUNT($F$5:F198))</f>
        <v/>
      </c>
      <c r="O198" s="28" t="str">
        <f aca="false">IF(H198="","",COUNT($H$5:H198))</f>
        <v/>
      </c>
    </row>
    <row r="199" customFormat="false" ht="15" hidden="false" customHeight="false" outlineLevel="0" collapsed="false">
      <c r="A199" s="26"/>
      <c r="B199" s="7" t="str">
        <f aca="false">IF(A199="","",INT((A199-'Tableau de bord'!$C$6)/7)+1)</f>
        <v/>
      </c>
      <c r="C199" s="3"/>
      <c r="D199" s="3"/>
      <c r="E199" s="3"/>
      <c r="F199" s="3"/>
      <c r="G199" s="3"/>
      <c r="H199" s="3"/>
      <c r="I199" s="3"/>
      <c r="J199" s="3"/>
      <c r="K199" s="3"/>
      <c r="L199" s="27"/>
      <c r="M199" s="28" t="str">
        <f aca="false">IF(E199="","",COUNT($E$5:E199))</f>
        <v/>
      </c>
      <c r="N199" s="28" t="str">
        <f aca="false">IF(F199="","",COUNT($F$5:F199))</f>
        <v/>
      </c>
      <c r="O199" s="28" t="str">
        <f aca="false">IF(H199="","",COUNT($H$5:H199))</f>
        <v/>
      </c>
    </row>
    <row r="200" customFormat="false" ht="15" hidden="false" customHeight="false" outlineLevel="0" collapsed="false">
      <c r="A200" s="26"/>
      <c r="B200" s="7" t="str">
        <f aca="false">IF(A200="","",INT((A200-'Tableau de bord'!$C$6)/7)+1)</f>
        <v/>
      </c>
      <c r="C200" s="3"/>
      <c r="D200" s="3"/>
      <c r="E200" s="3"/>
      <c r="F200" s="3"/>
      <c r="G200" s="3"/>
      <c r="H200" s="3"/>
      <c r="I200" s="3"/>
      <c r="J200" s="3"/>
      <c r="K200" s="3"/>
      <c r="L200" s="27"/>
      <c r="M200" s="28" t="str">
        <f aca="false">IF(E200="","",COUNT($E$5:E200))</f>
        <v/>
      </c>
      <c r="N200" s="28" t="str">
        <f aca="false">IF(F200="","",COUNT($F$5:F200))</f>
        <v/>
      </c>
      <c r="O200" s="28" t="str">
        <f aca="false">IF(H200="","",COUNT($H$5:H200))</f>
        <v/>
      </c>
    </row>
    <row r="201" customFormat="false" ht="15" hidden="false" customHeight="false" outlineLevel="0" collapsed="false">
      <c r="A201" s="26"/>
      <c r="B201" s="7" t="str">
        <f aca="false">IF(A201="","",INT((A201-'Tableau de bord'!$C$6)/7)+1)</f>
        <v/>
      </c>
      <c r="C201" s="3"/>
      <c r="D201" s="3"/>
      <c r="E201" s="3"/>
      <c r="F201" s="3"/>
      <c r="G201" s="3"/>
      <c r="H201" s="3"/>
      <c r="I201" s="3"/>
      <c r="J201" s="3"/>
      <c r="K201" s="3"/>
      <c r="L201" s="27"/>
      <c r="M201" s="28" t="str">
        <f aca="false">IF(E201="","",COUNT($E$5:E201))</f>
        <v/>
      </c>
      <c r="N201" s="28" t="str">
        <f aca="false">IF(F201="","",COUNT($F$5:F201))</f>
        <v/>
      </c>
      <c r="O201" s="28" t="str">
        <f aca="false">IF(H201="","",COUNT($H$5:H201))</f>
        <v/>
      </c>
    </row>
    <row r="202" customFormat="false" ht="15" hidden="false" customHeight="false" outlineLevel="0" collapsed="false">
      <c r="A202" s="26"/>
      <c r="B202" s="7" t="str">
        <f aca="false">IF(A202="","",INT((A202-'Tableau de bord'!$C$6)/7)+1)</f>
        <v/>
      </c>
      <c r="C202" s="3"/>
      <c r="D202" s="3"/>
      <c r="E202" s="3"/>
      <c r="F202" s="3"/>
      <c r="G202" s="3"/>
      <c r="H202" s="3"/>
      <c r="I202" s="3"/>
      <c r="J202" s="3"/>
      <c r="K202" s="3"/>
      <c r="L202" s="27"/>
      <c r="M202" s="28" t="str">
        <f aca="false">IF(E202="","",COUNT($E$5:E202))</f>
        <v/>
      </c>
      <c r="N202" s="28" t="str">
        <f aca="false">IF(F202="","",COUNT($F$5:F202))</f>
        <v/>
      </c>
      <c r="O202" s="28" t="str">
        <f aca="false">IF(H202="","",COUNT($H$5:H202))</f>
        <v/>
      </c>
    </row>
    <row r="203" customFormat="false" ht="15" hidden="false" customHeight="false" outlineLevel="0" collapsed="false">
      <c r="A203" s="26"/>
      <c r="B203" s="7" t="str">
        <f aca="false">IF(A203="","",INT((A203-'Tableau de bord'!$C$6)/7)+1)</f>
        <v/>
      </c>
      <c r="C203" s="3"/>
      <c r="D203" s="3"/>
      <c r="E203" s="3"/>
      <c r="F203" s="3"/>
      <c r="G203" s="3"/>
      <c r="H203" s="3"/>
      <c r="I203" s="3"/>
      <c r="J203" s="3"/>
      <c r="K203" s="3"/>
      <c r="L203" s="27"/>
      <c r="M203" s="28" t="str">
        <f aca="false">IF(E203="","",COUNT($E$5:E203))</f>
        <v/>
      </c>
      <c r="N203" s="28" t="str">
        <f aca="false">IF(F203="","",COUNT($F$5:F203))</f>
        <v/>
      </c>
      <c r="O203" s="28" t="str">
        <f aca="false">IF(H203="","",COUNT($H$5:H203))</f>
        <v/>
      </c>
    </row>
    <row r="204" customFormat="false" ht="15" hidden="false" customHeight="false" outlineLevel="0" collapsed="false">
      <c r="A204" s="26"/>
      <c r="B204" s="7" t="str">
        <f aca="false">IF(A204="","",INT((A204-'Tableau de bord'!$C$6)/7)+1)</f>
        <v/>
      </c>
      <c r="C204" s="3"/>
      <c r="D204" s="3"/>
      <c r="E204" s="3"/>
      <c r="F204" s="3"/>
      <c r="G204" s="3"/>
      <c r="H204" s="3"/>
      <c r="I204" s="3"/>
      <c r="J204" s="3"/>
      <c r="K204" s="3"/>
      <c r="L204" s="27"/>
      <c r="M204" s="28" t="str">
        <f aca="false">IF(E204="","",COUNT($E$5:E204))</f>
        <v/>
      </c>
      <c r="N204" s="28" t="str">
        <f aca="false">IF(F204="","",COUNT($F$5:F204))</f>
        <v/>
      </c>
      <c r="O204" s="28" t="str">
        <f aca="false">IF(H204="","",COUNT($H$5:H204))</f>
        <v/>
      </c>
    </row>
    <row r="205" customFormat="false" ht="15" hidden="false" customHeight="false" outlineLevel="0" collapsed="false">
      <c r="A205" s="26"/>
      <c r="B205" s="7" t="str">
        <f aca="false">IF(A205="","",INT((A205-'Tableau de bord'!$C$6)/7)+1)</f>
        <v/>
      </c>
      <c r="C205" s="3"/>
      <c r="D205" s="3"/>
      <c r="E205" s="3"/>
      <c r="F205" s="3"/>
      <c r="G205" s="3"/>
      <c r="H205" s="3"/>
      <c r="I205" s="3"/>
      <c r="J205" s="3"/>
      <c r="K205" s="3"/>
      <c r="L205" s="27"/>
      <c r="M205" s="28" t="str">
        <f aca="false">IF(E205="","",COUNT($E$5:E205))</f>
        <v/>
      </c>
      <c r="N205" s="28" t="str">
        <f aca="false">IF(F205="","",COUNT($F$5:F205))</f>
        <v/>
      </c>
      <c r="O205" s="28" t="str">
        <f aca="false">IF(H205="","",COUNT($H$5:H205))</f>
        <v/>
      </c>
    </row>
    <row r="206" customFormat="false" ht="15" hidden="false" customHeight="false" outlineLevel="0" collapsed="false">
      <c r="A206" s="26"/>
      <c r="B206" s="7" t="str">
        <f aca="false">IF(A206="","",INT((A206-'Tableau de bord'!$C$6)/7)+1)</f>
        <v/>
      </c>
      <c r="C206" s="3"/>
      <c r="D206" s="3"/>
      <c r="E206" s="3"/>
      <c r="F206" s="3"/>
      <c r="G206" s="3"/>
      <c r="H206" s="3"/>
      <c r="I206" s="3"/>
      <c r="J206" s="3"/>
      <c r="K206" s="3"/>
      <c r="L206" s="27"/>
      <c r="M206" s="28" t="str">
        <f aca="false">IF(E206="","",COUNT($E$5:E206))</f>
        <v/>
      </c>
      <c r="N206" s="28" t="str">
        <f aca="false">IF(F206="","",COUNT($F$5:F206))</f>
        <v/>
      </c>
      <c r="O206" s="28" t="str">
        <f aca="false">IF(H206="","",COUNT($H$5:H206))</f>
        <v/>
      </c>
    </row>
    <row r="207" customFormat="false" ht="15" hidden="false" customHeight="false" outlineLevel="0" collapsed="false">
      <c r="A207" s="26"/>
      <c r="B207" s="7" t="str">
        <f aca="false">IF(A207="","",INT((A207-'Tableau de bord'!$C$6)/7)+1)</f>
        <v/>
      </c>
      <c r="C207" s="3"/>
      <c r="D207" s="3"/>
      <c r="E207" s="3"/>
      <c r="F207" s="3"/>
      <c r="G207" s="3"/>
      <c r="H207" s="3"/>
      <c r="I207" s="3"/>
      <c r="J207" s="3"/>
      <c r="K207" s="3"/>
      <c r="L207" s="27"/>
      <c r="M207" s="28" t="str">
        <f aca="false">IF(E207="","",COUNT($E$5:E207))</f>
        <v/>
      </c>
      <c r="N207" s="28" t="str">
        <f aca="false">IF(F207="","",COUNT($F$5:F207))</f>
        <v/>
      </c>
      <c r="O207" s="28" t="str">
        <f aca="false">IF(H207="","",COUNT($H$5:H207))</f>
        <v/>
      </c>
    </row>
    <row r="208" customFormat="false" ht="15" hidden="false" customHeight="false" outlineLevel="0" collapsed="false">
      <c r="A208" s="26"/>
      <c r="B208" s="7" t="str">
        <f aca="false">IF(A208="","",INT((A208-'Tableau de bord'!$C$6)/7)+1)</f>
        <v/>
      </c>
      <c r="C208" s="3"/>
      <c r="D208" s="3"/>
      <c r="E208" s="3"/>
      <c r="F208" s="3"/>
      <c r="G208" s="3"/>
      <c r="H208" s="3"/>
      <c r="I208" s="3"/>
      <c r="J208" s="3"/>
      <c r="K208" s="3"/>
      <c r="L208" s="27"/>
      <c r="M208" s="28" t="str">
        <f aca="false">IF(E208="","",COUNT($E$5:E208))</f>
        <v/>
      </c>
      <c r="N208" s="28" t="str">
        <f aca="false">IF(F208="","",COUNT($F$5:F208))</f>
        <v/>
      </c>
      <c r="O208" s="28" t="str">
        <f aca="false">IF(H208="","",COUNT($H$5:H208))</f>
        <v/>
      </c>
    </row>
    <row r="209" customFormat="false" ht="15" hidden="false" customHeight="false" outlineLevel="0" collapsed="false">
      <c r="A209" s="26"/>
      <c r="B209" s="7" t="str">
        <f aca="false">IF(A209="","",INT((A209-'Tableau de bord'!$C$6)/7)+1)</f>
        <v/>
      </c>
      <c r="C209" s="3"/>
      <c r="D209" s="3"/>
      <c r="E209" s="3"/>
      <c r="F209" s="3"/>
      <c r="G209" s="3"/>
      <c r="H209" s="3"/>
      <c r="I209" s="3"/>
      <c r="J209" s="3"/>
      <c r="K209" s="3"/>
      <c r="L209" s="27"/>
      <c r="M209" s="28" t="str">
        <f aca="false">IF(E209="","",COUNT($E$5:E209))</f>
        <v/>
      </c>
      <c r="N209" s="28" t="str">
        <f aca="false">IF(F209="","",COUNT($F$5:F209))</f>
        <v/>
      </c>
      <c r="O209" s="28" t="str">
        <f aca="false">IF(H209="","",COUNT($H$5:H209))</f>
        <v/>
      </c>
    </row>
    <row r="210" customFormat="false" ht="15" hidden="false" customHeight="false" outlineLevel="0" collapsed="false">
      <c r="A210" s="26"/>
      <c r="B210" s="7" t="str">
        <f aca="false">IF(A210="","",INT((A210-'Tableau de bord'!$C$6)/7)+1)</f>
        <v/>
      </c>
      <c r="C210" s="3"/>
      <c r="D210" s="3"/>
      <c r="E210" s="3"/>
      <c r="F210" s="3"/>
      <c r="G210" s="3"/>
      <c r="H210" s="3"/>
      <c r="I210" s="3"/>
      <c r="J210" s="3"/>
      <c r="K210" s="3"/>
      <c r="L210" s="27"/>
      <c r="M210" s="28" t="str">
        <f aca="false">IF(E210="","",COUNT($E$5:E210))</f>
        <v/>
      </c>
      <c r="N210" s="28" t="str">
        <f aca="false">IF(F210="","",COUNT($F$5:F210))</f>
        <v/>
      </c>
      <c r="O210" s="28" t="str">
        <f aca="false">IF(H210="","",COUNT($H$5:H210))</f>
        <v/>
      </c>
    </row>
    <row r="211" customFormat="false" ht="15" hidden="false" customHeight="false" outlineLevel="0" collapsed="false">
      <c r="A211" s="26"/>
      <c r="B211" s="7" t="str">
        <f aca="false">IF(A211="","",INT((A211-'Tableau de bord'!$C$6)/7)+1)</f>
        <v/>
      </c>
      <c r="C211" s="3"/>
      <c r="D211" s="3"/>
      <c r="E211" s="3"/>
      <c r="F211" s="3"/>
      <c r="G211" s="3"/>
      <c r="H211" s="3"/>
      <c r="I211" s="3"/>
      <c r="J211" s="3"/>
      <c r="K211" s="3"/>
      <c r="L211" s="27"/>
      <c r="M211" s="28" t="str">
        <f aca="false">IF(E211="","",COUNT($E$5:E211))</f>
        <v/>
      </c>
      <c r="N211" s="28" t="str">
        <f aca="false">IF(F211="","",COUNT($F$5:F211))</f>
        <v/>
      </c>
      <c r="O211" s="28" t="str">
        <f aca="false">IF(H211="","",COUNT($H$5:H211))</f>
        <v/>
      </c>
    </row>
    <row r="212" customFormat="false" ht="15" hidden="false" customHeight="false" outlineLevel="0" collapsed="false">
      <c r="A212" s="26"/>
      <c r="B212" s="7" t="str">
        <f aca="false">IF(A212="","",INT((A212-'Tableau de bord'!$C$6)/7)+1)</f>
        <v/>
      </c>
      <c r="C212" s="3"/>
      <c r="D212" s="3"/>
      <c r="E212" s="3"/>
      <c r="F212" s="3"/>
      <c r="G212" s="3"/>
      <c r="H212" s="3"/>
      <c r="I212" s="3"/>
      <c r="J212" s="3"/>
      <c r="K212" s="3"/>
      <c r="L212" s="27"/>
      <c r="M212" s="28" t="str">
        <f aca="false">IF(E212="","",COUNT($E$5:E212))</f>
        <v/>
      </c>
      <c r="N212" s="28" t="str">
        <f aca="false">IF(F212="","",COUNT($F$5:F212))</f>
        <v/>
      </c>
      <c r="O212" s="28" t="str">
        <f aca="false">IF(H212="","",COUNT($H$5:H212))</f>
        <v/>
      </c>
    </row>
    <row r="213" customFormat="false" ht="15" hidden="false" customHeight="false" outlineLevel="0" collapsed="false">
      <c r="A213" s="26"/>
      <c r="B213" s="7" t="str">
        <f aca="false">IF(A213="","",INT((A213-'Tableau de bord'!$C$6)/7)+1)</f>
        <v/>
      </c>
      <c r="C213" s="3"/>
      <c r="D213" s="3"/>
      <c r="E213" s="3"/>
      <c r="F213" s="3"/>
      <c r="G213" s="3"/>
      <c r="H213" s="3"/>
      <c r="I213" s="3"/>
      <c r="J213" s="3"/>
      <c r="K213" s="3"/>
      <c r="L213" s="27"/>
      <c r="M213" s="28" t="str">
        <f aca="false">IF(E213="","",COUNT($E$5:E213))</f>
        <v/>
      </c>
      <c r="N213" s="28" t="str">
        <f aca="false">IF(F213="","",COUNT($F$5:F213))</f>
        <v/>
      </c>
      <c r="O213" s="28" t="str">
        <f aca="false">IF(H213="","",COUNT($H$5:H213))</f>
        <v/>
      </c>
    </row>
    <row r="214" customFormat="false" ht="15" hidden="false" customHeight="false" outlineLevel="0" collapsed="false">
      <c r="A214" s="26"/>
      <c r="B214" s="7" t="str">
        <f aca="false">IF(A214="","",INT((A214-'Tableau de bord'!$C$6)/7)+1)</f>
        <v/>
      </c>
      <c r="C214" s="3"/>
      <c r="D214" s="3"/>
      <c r="E214" s="3"/>
      <c r="F214" s="3"/>
      <c r="G214" s="3"/>
      <c r="H214" s="3"/>
      <c r="I214" s="3"/>
      <c r="J214" s="3"/>
      <c r="K214" s="3"/>
      <c r="L214" s="27"/>
      <c r="M214" s="28" t="str">
        <f aca="false">IF(E214="","",COUNT($E$5:E214))</f>
        <v/>
      </c>
      <c r="N214" s="28" t="str">
        <f aca="false">IF(F214="","",COUNT($F$5:F214))</f>
        <v/>
      </c>
      <c r="O214" s="28" t="str">
        <f aca="false">IF(H214="","",COUNT($H$5:H214))</f>
        <v/>
      </c>
    </row>
    <row r="215" customFormat="false" ht="15" hidden="false" customHeight="false" outlineLevel="0" collapsed="false">
      <c r="A215" s="26"/>
      <c r="B215" s="7" t="str">
        <f aca="false">IF(A215="","",INT((A215-'Tableau de bord'!$C$6)/7)+1)</f>
        <v/>
      </c>
      <c r="C215" s="3"/>
      <c r="D215" s="3"/>
      <c r="E215" s="3"/>
      <c r="F215" s="3"/>
      <c r="G215" s="3"/>
      <c r="H215" s="3"/>
      <c r="I215" s="3"/>
      <c r="J215" s="3"/>
      <c r="K215" s="3"/>
      <c r="L215" s="27"/>
      <c r="M215" s="28" t="str">
        <f aca="false">IF(E215="","",COUNT($E$5:E215))</f>
        <v/>
      </c>
      <c r="N215" s="28" t="str">
        <f aca="false">IF(F215="","",COUNT($F$5:F215))</f>
        <v/>
      </c>
      <c r="O215" s="28" t="str">
        <f aca="false">IF(H215="","",COUNT($H$5:H215))</f>
        <v/>
      </c>
    </row>
    <row r="216" customFormat="false" ht="15" hidden="false" customHeight="false" outlineLevel="0" collapsed="false">
      <c r="A216" s="26"/>
      <c r="B216" s="7" t="str">
        <f aca="false">IF(A216="","",INT((A216-'Tableau de bord'!$C$6)/7)+1)</f>
        <v/>
      </c>
      <c r="C216" s="3"/>
      <c r="D216" s="3"/>
      <c r="E216" s="3"/>
      <c r="F216" s="3"/>
      <c r="G216" s="3"/>
      <c r="H216" s="3"/>
      <c r="I216" s="3"/>
      <c r="J216" s="3"/>
      <c r="K216" s="3"/>
      <c r="L216" s="27"/>
      <c r="M216" s="28" t="str">
        <f aca="false">IF(E216="","",COUNT($E$5:E216))</f>
        <v/>
      </c>
      <c r="N216" s="28" t="str">
        <f aca="false">IF(F216="","",COUNT($F$5:F216))</f>
        <v/>
      </c>
      <c r="O216" s="28" t="str">
        <f aca="false">IF(H216="","",COUNT($H$5:H216))</f>
        <v/>
      </c>
    </row>
    <row r="217" customFormat="false" ht="15" hidden="false" customHeight="false" outlineLevel="0" collapsed="false">
      <c r="A217" s="26"/>
      <c r="B217" s="7" t="str">
        <f aca="false">IF(A217="","",INT((A217-'Tableau de bord'!$C$6)/7)+1)</f>
        <v/>
      </c>
      <c r="C217" s="3"/>
      <c r="D217" s="3"/>
      <c r="E217" s="3"/>
      <c r="F217" s="3"/>
      <c r="G217" s="3"/>
      <c r="H217" s="3"/>
      <c r="I217" s="3"/>
      <c r="J217" s="3"/>
      <c r="K217" s="3"/>
      <c r="L217" s="27"/>
      <c r="M217" s="28" t="str">
        <f aca="false">IF(E217="","",COUNT($E$5:E217))</f>
        <v/>
      </c>
      <c r="N217" s="28" t="str">
        <f aca="false">IF(F217="","",COUNT($F$5:F217))</f>
        <v/>
      </c>
      <c r="O217" s="28" t="str">
        <f aca="false">IF(H217="","",COUNT($H$5:H217))</f>
        <v/>
      </c>
    </row>
    <row r="218" customFormat="false" ht="15" hidden="false" customHeight="false" outlineLevel="0" collapsed="false">
      <c r="A218" s="26"/>
      <c r="B218" s="7" t="str">
        <f aca="false">IF(A218="","",INT((A218-'Tableau de bord'!$C$6)/7)+1)</f>
        <v/>
      </c>
      <c r="C218" s="3"/>
      <c r="D218" s="3"/>
      <c r="E218" s="3"/>
      <c r="F218" s="3"/>
      <c r="G218" s="3"/>
      <c r="H218" s="3"/>
      <c r="I218" s="3"/>
      <c r="J218" s="3"/>
      <c r="K218" s="3"/>
      <c r="L218" s="27"/>
      <c r="M218" s="28" t="str">
        <f aca="false">IF(E218="","",COUNT($E$5:E218))</f>
        <v/>
      </c>
      <c r="N218" s="28" t="str">
        <f aca="false">IF(F218="","",COUNT($F$5:F218))</f>
        <v/>
      </c>
      <c r="O218" s="28" t="str">
        <f aca="false">IF(H218="","",COUNT($H$5:H218))</f>
        <v/>
      </c>
    </row>
    <row r="219" customFormat="false" ht="15" hidden="false" customHeight="false" outlineLevel="0" collapsed="false">
      <c r="A219" s="26"/>
      <c r="B219" s="7" t="str">
        <f aca="false">IF(A219="","",INT((A219-'Tableau de bord'!$C$6)/7)+1)</f>
        <v/>
      </c>
      <c r="C219" s="3"/>
      <c r="D219" s="3"/>
      <c r="E219" s="3"/>
      <c r="F219" s="3"/>
      <c r="G219" s="3"/>
      <c r="H219" s="3"/>
      <c r="I219" s="3"/>
      <c r="J219" s="3"/>
      <c r="K219" s="3"/>
      <c r="L219" s="27"/>
      <c r="M219" s="28" t="str">
        <f aca="false">IF(E219="","",COUNT($E$5:E219))</f>
        <v/>
      </c>
      <c r="N219" s="28" t="str">
        <f aca="false">IF(F219="","",COUNT($F$5:F219))</f>
        <v/>
      </c>
      <c r="O219" s="28" t="str">
        <f aca="false">IF(H219="","",COUNT($H$5:H219))</f>
        <v/>
      </c>
    </row>
    <row r="220" customFormat="false" ht="15" hidden="false" customHeight="false" outlineLevel="0" collapsed="false">
      <c r="A220" s="26"/>
      <c r="B220" s="7" t="str">
        <f aca="false">IF(A220="","",INT((A220-'Tableau de bord'!$C$6)/7)+1)</f>
        <v/>
      </c>
      <c r="C220" s="3"/>
      <c r="D220" s="3"/>
      <c r="E220" s="3"/>
      <c r="F220" s="3"/>
      <c r="G220" s="3"/>
      <c r="H220" s="3"/>
      <c r="I220" s="3"/>
      <c r="J220" s="3"/>
      <c r="K220" s="3"/>
      <c r="L220" s="27"/>
      <c r="M220" s="28" t="str">
        <f aca="false">IF(E220="","",COUNT($E$5:E220))</f>
        <v/>
      </c>
      <c r="N220" s="28" t="str">
        <f aca="false">IF(F220="","",COUNT($F$5:F220))</f>
        <v/>
      </c>
      <c r="O220" s="28" t="str">
        <f aca="false">IF(H220="","",COUNT($H$5:H220))</f>
        <v/>
      </c>
    </row>
    <row r="221" customFormat="false" ht="15" hidden="false" customHeight="false" outlineLevel="0" collapsed="false">
      <c r="A221" s="26"/>
      <c r="B221" s="7" t="str">
        <f aca="false">IF(A221="","",INT((A221-'Tableau de bord'!$C$6)/7)+1)</f>
        <v/>
      </c>
      <c r="C221" s="3"/>
      <c r="D221" s="3"/>
      <c r="E221" s="3"/>
      <c r="F221" s="3"/>
      <c r="G221" s="3"/>
      <c r="H221" s="3"/>
      <c r="I221" s="3"/>
      <c r="J221" s="3"/>
      <c r="K221" s="3"/>
      <c r="L221" s="27"/>
      <c r="M221" s="28" t="str">
        <f aca="false">IF(E221="","",COUNT($E$5:E221))</f>
        <v/>
      </c>
      <c r="N221" s="28" t="str">
        <f aca="false">IF(F221="","",COUNT($F$5:F221))</f>
        <v/>
      </c>
      <c r="O221" s="28" t="str">
        <f aca="false">IF(H221="","",COUNT($H$5:H221))</f>
        <v/>
      </c>
    </row>
    <row r="222" customFormat="false" ht="15" hidden="false" customHeight="false" outlineLevel="0" collapsed="false">
      <c r="A222" s="26"/>
      <c r="B222" s="7" t="str">
        <f aca="false">IF(A222="","",INT((A222-'Tableau de bord'!$C$6)/7)+1)</f>
        <v/>
      </c>
      <c r="C222" s="3"/>
      <c r="D222" s="3"/>
      <c r="E222" s="3"/>
      <c r="F222" s="3"/>
      <c r="G222" s="3"/>
      <c r="H222" s="3"/>
      <c r="I222" s="3"/>
      <c r="J222" s="3"/>
      <c r="K222" s="3"/>
      <c r="L222" s="27"/>
      <c r="M222" s="28" t="str">
        <f aca="false">IF(E222="","",COUNT($E$5:E222))</f>
        <v/>
      </c>
      <c r="N222" s="28" t="str">
        <f aca="false">IF(F222="","",COUNT($F$5:F222))</f>
        <v/>
      </c>
      <c r="O222" s="28" t="str">
        <f aca="false">IF(H222="","",COUNT($H$5:H222))</f>
        <v/>
      </c>
    </row>
    <row r="223" customFormat="false" ht="15" hidden="false" customHeight="false" outlineLevel="0" collapsed="false">
      <c r="A223" s="26"/>
      <c r="B223" s="7" t="str">
        <f aca="false">IF(A223="","",INT((A223-'Tableau de bord'!$C$6)/7)+1)</f>
        <v/>
      </c>
      <c r="C223" s="3"/>
      <c r="D223" s="3"/>
      <c r="E223" s="3"/>
      <c r="F223" s="3"/>
      <c r="G223" s="3"/>
      <c r="H223" s="3"/>
      <c r="I223" s="3"/>
      <c r="J223" s="3"/>
      <c r="K223" s="3"/>
      <c r="L223" s="27"/>
      <c r="M223" s="28" t="str">
        <f aca="false">IF(E223="","",COUNT($E$5:E223))</f>
        <v/>
      </c>
      <c r="N223" s="28" t="str">
        <f aca="false">IF(F223="","",COUNT($F$5:F223))</f>
        <v/>
      </c>
      <c r="O223" s="28" t="str">
        <f aca="false">IF(H223="","",COUNT($H$5:H223))</f>
        <v/>
      </c>
    </row>
    <row r="224" customFormat="false" ht="15" hidden="false" customHeight="false" outlineLevel="0" collapsed="false">
      <c r="A224" s="26"/>
      <c r="B224" s="7" t="str">
        <f aca="false">IF(A224="","",INT((A224-'Tableau de bord'!$C$6)/7)+1)</f>
        <v/>
      </c>
      <c r="C224" s="3"/>
      <c r="D224" s="3"/>
      <c r="E224" s="3"/>
      <c r="F224" s="3"/>
      <c r="G224" s="3"/>
      <c r="H224" s="3"/>
      <c r="I224" s="3"/>
      <c r="J224" s="3"/>
      <c r="K224" s="3"/>
      <c r="L224" s="27"/>
      <c r="M224" s="28" t="str">
        <f aca="false">IF(E224="","",COUNT($E$5:E224))</f>
        <v/>
      </c>
      <c r="N224" s="28" t="str">
        <f aca="false">IF(F224="","",COUNT($F$5:F224))</f>
        <v/>
      </c>
      <c r="O224" s="28" t="str">
        <f aca="false">IF(H224="","",COUNT($H$5:H224))</f>
        <v/>
      </c>
    </row>
    <row r="225" customFormat="false" ht="15" hidden="false" customHeight="false" outlineLevel="0" collapsed="false">
      <c r="A225" s="26"/>
      <c r="B225" s="7" t="str">
        <f aca="false">IF(A225="","",INT((A225-'Tableau de bord'!$C$6)/7)+1)</f>
        <v/>
      </c>
      <c r="C225" s="3"/>
      <c r="D225" s="3"/>
      <c r="E225" s="3"/>
      <c r="F225" s="3"/>
      <c r="G225" s="3"/>
      <c r="H225" s="3"/>
      <c r="I225" s="3"/>
      <c r="J225" s="3"/>
      <c r="K225" s="3"/>
      <c r="L225" s="27"/>
      <c r="M225" s="28" t="str">
        <f aca="false">IF(E225="","",COUNT($E$5:E225))</f>
        <v/>
      </c>
      <c r="N225" s="28" t="str">
        <f aca="false">IF(F225="","",COUNT($F$5:F225))</f>
        <v/>
      </c>
      <c r="O225" s="28" t="str">
        <f aca="false">IF(H225="","",COUNT($H$5:H225))</f>
        <v/>
      </c>
    </row>
    <row r="226" customFormat="false" ht="15" hidden="false" customHeight="false" outlineLevel="0" collapsed="false">
      <c r="A226" s="26"/>
      <c r="B226" s="7" t="str">
        <f aca="false">IF(A226="","",INT((A226-'Tableau de bord'!$C$6)/7)+1)</f>
        <v/>
      </c>
      <c r="C226" s="3"/>
      <c r="D226" s="3"/>
      <c r="E226" s="3"/>
      <c r="F226" s="3"/>
      <c r="G226" s="3"/>
      <c r="H226" s="3"/>
      <c r="I226" s="3"/>
      <c r="J226" s="3"/>
      <c r="K226" s="3"/>
      <c r="L226" s="27"/>
      <c r="M226" s="28" t="str">
        <f aca="false">IF(E226="","",COUNT($E$5:E226))</f>
        <v/>
      </c>
      <c r="N226" s="28" t="str">
        <f aca="false">IF(F226="","",COUNT($F$5:F226))</f>
        <v/>
      </c>
      <c r="O226" s="28" t="str">
        <f aca="false">IF(H226="","",COUNT($H$5:H226))</f>
        <v/>
      </c>
    </row>
    <row r="227" customFormat="false" ht="15" hidden="false" customHeight="false" outlineLevel="0" collapsed="false">
      <c r="A227" s="26"/>
      <c r="B227" s="7" t="str">
        <f aca="false">IF(A227="","",INT((A227-'Tableau de bord'!$C$6)/7)+1)</f>
        <v/>
      </c>
      <c r="C227" s="3"/>
      <c r="D227" s="3"/>
      <c r="E227" s="3"/>
      <c r="F227" s="3"/>
      <c r="G227" s="3"/>
      <c r="H227" s="3"/>
      <c r="I227" s="3"/>
      <c r="J227" s="3"/>
      <c r="K227" s="3"/>
      <c r="L227" s="27"/>
      <c r="M227" s="28" t="str">
        <f aca="false">IF(E227="","",COUNT($E$5:E227))</f>
        <v/>
      </c>
      <c r="N227" s="28" t="str">
        <f aca="false">IF(F227="","",COUNT($F$5:F227))</f>
        <v/>
      </c>
      <c r="O227" s="28" t="str">
        <f aca="false">IF(H227="","",COUNT($H$5:H227))</f>
        <v/>
      </c>
    </row>
    <row r="228" customFormat="false" ht="15" hidden="false" customHeight="false" outlineLevel="0" collapsed="false">
      <c r="A228" s="26"/>
      <c r="B228" s="7" t="str">
        <f aca="false">IF(A228="","",INT((A228-'Tableau de bord'!$C$6)/7)+1)</f>
        <v/>
      </c>
      <c r="C228" s="3"/>
      <c r="D228" s="3"/>
      <c r="E228" s="3"/>
      <c r="F228" s="3"/>
      <c r="G228" s="3"/>
      <c r="H228" s="3"/>
      <c r="I228" s="3"/>
      <c r="J228" s="3"/>
      <c r="K228" s="3"/>
      <c r="L228" s="27"/>
      <c r="M228" s="28" t="str">
        <f aca="false">IF(E228="","",COUNT($E$5:E228))</f>
        <v/>
      </c>
      <c r="N228" s="28" t="str">
        <f aca="false">IF(F228="","",COUNT($F$5:F228))</f>
        <v/>
      </c>
      <c r="O228" s="28" t="str">
        <f aca="false">IF(H228="","",COUNT($H$5:H228))</f>
        <v/>
      </c>
    </row>
    <row r="229" customFormat="false" ht="15" hidden="false" customHeight="false" outlineLevel="0" collapsed="false">
      <c r="A229" s="26"/>
      <c r="B229" s="7" t="str">
        <f aca="false">IF(A229="","",INT((A229-'Tableau de bord'!$C$6)/7)+1)</f>
        <v/>
      </c>
      <c r="C229" s="3"/>
      <c r="D229" s="3"/>
      <c r="E229" s="3"/>
      <c r="F229" s="3"/>
      <c r="G229" s="3"/>
      <c r="H229" s="3"/>
      <c r="I229" s="3"/>
      <c r="J229" s="3"/>
      <c r="K229" s="3"/>
      <c r="L229" s="27"/>
      <c r="M229" s="28" t="str">
        <f aca="false">IF(E229="","",COUNT($E$5:E229))</f>
        <v/>
      </c>
      <c r="N229" s="28" t="str">
        <f aca="false">IF(F229="","",COUNT($F$5:F229))</f>
        <v/>
      </c>
      <c r="O229" s="28" t="str">
        <f aca="false">IF(H229="","",COUNT($H$5:H229))</f>
        <v/>
      </c>
    </row>
    <row r="230" customFormat="false" ht="15" hidden="false" customHeight="false" outlineLevel="0" collapsed="false">
      <c r="A230" s="26"/>
      <c r="B230" s="7" t="str">
        <f aca="false">IF(A230="","",INT((A230-'Tableau de bord'!$C$6)/7)+1)</f>
        <v/>
      </c>
      <c r="C230" s="3"/>
      <c r="D230" s="3"/>
      <c r="E230" s="3"/>
      <c r="F230" s="3"/>
      <c r="G230" s="3"/>
      <c r="H230" s="3"/>
      <c r="I230" s="3"/>
      <c r="J230" s="3"/>
      <c r="K230" s="3"/>
      <c r="L230" s="27"/>
      <c r="M230" s="28" t="str">
        <f aca="false">IF(E230="","",COUNT($E$5:E230))</f>
        <v/>
      </c>
      <c r="N230" s="28" t="str">
        <f aca="false">IF(F230="","",COUNT($F$5:F230))</f>
        <v/>
      </c>
      <c r="O230" s="28" t="str">
        <f aca="false">IF(H230="","",COUNT($H$5:H230))</f>
        <v/>
      </c>
    </row>
    <row r="231" customFormat="false" ht="15" hidden="false" customHeight="false" outlineLevel="0" collapsed="false">
      <c r="A231" s="26"/>
      <c r="B231" s="7" t="str">
        <f aca="false">IF(A231="","",INT((A231-'Tableau de bord'!$C$6)/7)+1)</f>
        <v/>
      </c>
      <c r="C231" s="3"/>
      <c r="D231" s="3"/>
      <c r="E231" s="3"/>
      <c r="F231" s="3"/>
      <c r="G231" s="3"/>
      <c r="H231" s="3"/>
      <c r="I231" s="3"/>
      <c r="J231" s="3"/>
      <c r="K231" s="3"/>
      <c r="L231" s="27"/>
      <c r="M231" s="28" t="str">
        <f aca="false">IF(E231="","",COUNT($E$5:E231))</f>
        <v/>
      </c>
      <c r="N231" s="28" t="str">
        <f aca="false">IF(F231="","",COUNT($F$5:F231))</f>
        <v/>
      </c>
      <c r="O231" s="28" t="str">
        <f aca="false">IF(H231="","",COUNT($H$5:H231))</f>
        <v/>
      </c>
    </row>
    <row r="232" customFormat="false" ht="15" hidden="false" customHeight="false" outlineLevel="0" collapsed="false">
      <c r="A232" s="26"/>
      <c r="B232" s="7" t="str">
        <f aca="false">IF(A232="","",INT((A232-'Tableau de bord'!$C$6)/7)+1)</f>
        <v/>
      </c>
      <c r="C232" s="3"/>
      <c r="D232" s="3"/>
      <c r="E232" s="3"/>
      <c r="F232" s="3"/>
      <c r="G232" s="3"/>
      <c r="H232" s="3"/>
      <c r="I232" s="3"/>
      <c r="J232" s="3"/>
      <c r="K232" s="3"/>
      <c r="L232" s="27"/>
      <c r="M232" s="28" t="str">
        <f aca="false">IF(E232="","",COUNT($E$5:E232))</f>
        <v/>
      </c>
      <c r="N232" s="28" t="str">
        <f aca="false">IF(F232="","",COUNT($F$5:F232))</f>
        <v/>
      </c>
      <c r="O232" s="28" t="str">
        <f aca="false">IF(H232="","",COUNT($H$5:H232))</f>
        <v/>
      </c>
    </row>
    <row r="233" customFormat="false" ht="15" hidden="false" customHeight="false" outlineLevel="0" collapsed="false">
      <c r="A233" s="26"/>
      <c r="B233" s="7" t="str">
        <f aca="false">IF(A233="","",INT((A233-'Tableau de bord'!$C$6)/7)+1)</f>
        <v/>
      </c>
      <c r="C233" s="3"/>
      <c r="D233" s="3"/>
      <c r="E233" s="3"/>
      <c r="F233" s="3"/>
      <c r="G233" s="3"/>
      <c r="H233" s="3"/>
      <c r="I233" s="3"/>
      <c r="J233" s="3"/>
      <c r="K233" s="3"/>
      <c r="L233" s="27"/>
      <c r="M233" s="28" t="str">
        <f aca="false">IF(E233="","",COUNT($E$5:E233))</f>
        <v/>
      </c>
      <c r="N233" s="28" t="str">
        <f aca="false">IF(F233="","",COUNT($F$5:F233))</f>
        <v/>
      </c>
      <c r="O233" s="28" t="str">
        <f aca="false">IF(H233="","",COUNT($H$5:H233))</f>
        <v/>
      </c>
    </row>
    <row r="234" customFormat="false" ht="15" hidden="false" customHeight="false" outlineLevel="0" collapsed="false">
      <c r="A234" s="26"/>
      <c r="B234" s="7" t="str">
        <f aca="false">IF(A234="","",INT((A234-'Tableau de bord'!$C$6)/7)+1)</f>
        <v/>
      </c>
      <c r="C234" s="3"/>
      <c r="D234" s="3"/>
      <c r="E234" s="3"/>
      <c r="F234" s="3"/>
      <c r="G234" s="3"/>
      <c r="H234" s="3"/>
      <c r="I234" s="3"/>
      <c r="J234" s="3"/>
      <c r="K234" s="3"/>
      <c r="L234" s="27"/>
      <c r="M234" s="28" t="str">
        <f aca="false">IF(E234="","",COUNT($E$5:E234))</f>
        <v/>
      </c>
      <c r="N234" s="28" t="str">
        <f aca="false">IF(F234="","",COUNT($F$5:F234))</f>
        <v/>
      </c>
      <c r="O234" s="28" t="str">
        <f aca="false">IF(H234="","",COUNT($H$5:H234))</f>
        <v/>
      </c>
    </row>
    <row r="235" customFormat="false" ht="15" hidden="false" customHeight="false" outlineLevel="0" collapsed="false">
      <c r="A235" s="26"/>
      <c r="B235" s="7" t="str">
        <f aca="false">IF(A235="","",INT((A235-'Tableau de bord'!$C$6)/7)+1)</f>
        <v/>
      </c>
      <c r="C235" s="3"/>
      <c r="D235" s="3"/>
      <c r="E235" s="3"/>
      <c r="F235" s="3"/>
      <c r="G235" s="3"/>
      <c r="H235" s="3"/>
      <c r="I235" s="3"/>
      <c r="J235" s="3"/>
      <c r="K235" s="3"/>
      <c r="L235" s="27"/>
      <c r="M235" s="28" t="str">
        <f aca="false">IF(E235="","",COUNT($E$5:E235))</f>
        <v/>
      </c>
      <c r="N235" s="28" t="str">
        <f aca="false">IF(F235="","",COUNT($F$5:F235))</f>
        <v/>
      </c>
      <c r="O235" s="28" t="str">
        <f aca="false">IF(H235="","",COUNT($H$5:H235))</f>
        <v/>
      </c>
    </row>
    <row r="236" customFormat="false" ht="15" hidden="false" customHeight="false" outlineLevel="0" collapsed="false">
      <c r="A236" s="26"/>
      <c r="B236" s="7" t="str">
        <f aca="false">IF(A236="","",INT((A236-'Tableau de bord'!$C$6)/7)+1)</f>
        <v/>
      </c>
      <c r="C236" s="3"/>
      <c r="D236" s="3"/>
      <c r="E236" s="3"/>
      <c r="F236" s="3"/>
      <c r="G236" s="3"/>
      <c r="H236" s="3"/>
      <c r="I236" s="3"/>
      <c r="J236" s="3"/>
      <c r="K236" s="3"/>
      <c r="L236" s="27"/>
      <c r="M236" s="28" t="str">
        <f aca="false">IF(E236="","",COUNT($E$5:E236))</f>
        <v/>
      </c>
      <c r="N236" s="28" t="str">
        <f aca="false">IF(F236="","",COUNT($F$5:F236))</f>
        <v/>
      </c>
      <c r="O236" s="28" t="str">
        <f aca="false">IF(H236="","",COUNT($H$5:H236))</f>
        <v/>
      </c>
    </row>
    <row r="237" customFormat="false" ht="15" hidden="false" customHeight="false" outlineLevel="0" collapsed="false">
      <c r="A237" s="26"/>
      <c r="B237" s="7" t="str">
        <f aca="false">IF(A237="","",INT((A237-'Tableau de bord'!$C$6)/7)+1)</f>
        <v/>
      </c>
      <c r="C237" s="3"/>
      <c r="D237" s="3"/>
      <c r="E237" s="3"/>
      <c r="F237" s="3"/>
      <c r="G237" s="3"/>
      <c r="H237" s="3"/>
      <c r="I237" s="3"/>
      <c r="J237" s="3"/>
      <c r="K237" s="3"/>
      <c r="L237" s="27"/>
      <c r="M237" s="28" t="str">
        <f aca="false">IF(E237="","",COUNT($E$5:E237))</f>
        <v/>
      </c>
      <c r="N237" s="28" t="str">
        <f aca="false">IF(F237="","",COUNT($F$5:F237))</f>
        <v/>
      </c>
      <c r="O237" s="28" t="str">
        <f aca="false">IF(H237="","",COUNT($H$5:H237))</f>
        <v/>
      </c>
    </row>
    <row r="238" customFormat="false" ht="15" hidden="false" customHeight="false" outlineLevel="0" collapsed="false">
      <c r="A238" s="26"/>
      <c r="B238" s="7" t="str">
        <f aca="false">IF(A238="","",INT((A238-'Tableau de bord'!$C$6)/7)+1)</f>
        <v/>
      </c>
      <c r="C238" s="3"/>
      <c r="D238" s="3"/>
      <c r="E238" s="3"/>
      <c r="F238" s="3"/>
      <c r="G238" s="3"/>
      <c r="H238" s="3"/>
      <c r="I238" s="3"/>
      <c r="J238" s="3"/>
      <c r="K238" s="3"/>
      <c r="L238" s="27"/>
      <c r="M238" s="28" t="str">
        <f aca="false">IF(E238="","",COUNT($E$5:E238))</f>
        <v/>
      </c>
      <c r="N238" s="28" t="str">
        <f aca="false">IF(F238="","",COUNT($F$5:F238))</f>
        <v/>
      </c>
      <c r="O238" s="28" t="str">
        <f aca="false">IF(H238="","",COUNT($H$5:H238))</f>
        <v/>
      </c>
    </row>
    <row r="239" customFormat="false" ht="15" hidden="false" customHeight="false" outlineLevel="0" collapsed="false">
      <c r="A239" s="26"/>
      <c r="B239" s="7" t="str">
        <f aca="false">IF(A239="","",INT((A239-'Tableau de bord'!$C$6)/7)+1)</f>
        <v/>
      </c>
      <c r="C239" s="3"/>
      <c r="D239" s="3"/>
      <c r="E239" s="3"/>
      <c r="F239" s="3"/>
      <c r="G239" s="3"/>
      <c r="H239" s="3"/>
      <c r="I239" s="3"/>
      <c r="J239" s="3"/>
      <c r="K239" s="3"/>
      <c r="L239" s="27"/>
      <c r="M239" s="28" t="str">
        <f aca="false">IF(E239="","",COUNT($E$5:E239))</f>
        <v/>
      </c>
      <c r="N239" s="28" t="str">
        <f aca="false">IF(F239="","",COUNT($F$5:F239))</f>
        <v/>
      </c>
      <c r="O239" s="28" t="str">
        <f aca="false">IF(H239="","",COUNT($H$5:H239))</f>
        <v/>
      </c>
    </row>
    <row r="240" customFormat="false" ht="15" hidden="false" customHeight="false" outlineLevel="0" collapsed="false">
      <c r="A240" s="26"/>
      <c r="B240" s="7" t="str">
        <f aca="false">IF(A240="","",INT((A240-'Tableau de bord'!$C$6)/7)+1)</f>
        <v/>
      </c>
      <c r="C240" s="3"/>
      <c r="D240" s="3"/>
      <c r="E240" s="3"/>
      <c r="F240" s="3"/>
      <c r="G240" s="3"/>
      <c r="H240" s="3"/>
      <c r="I240" s="3"/>
      <c r="J240" s="3"/>
      <c r="K240" s="3"/>
      <c r="L240" s="27"/>
      <c r="M240" s="28" t="str">
        <f aca="false">IF(E240="","",COUNT($E$5:E240))</f>
        <v/>
      </c>
      <c r="N240" s="28" t="str">
        <f aca="false">IF(F240="","",COUNT($F$5:F240))</f>
        <v/>
      </c>
      <c r="O240" s="28" t="str">
        <f aca="false">IF(H240="","",COUNT($H$5:H240))</f>
        <v/>
      </c>
    </row>
    <row r="241" customFormat="false" ht="15" hidden="false" customHeight="false" outlineLevel="0" collapsed="false">
      <c r="A241" s="26"/>
      <c r="B241" s="7" t="str">
        <f aca="false">IF(A241="","",INT((A241-'Tableau de bord'!$C$6)/7)+1)</f>
        <v/>
      </c>
      <c r="C241" s="3"/>
      <c r="D241" s="3"/>
      <c r="E241" s="3"/>
      <c r="F241" s="3"/>
      <c r="G241" s="3"/>
      <c r="H241" s="3"/>
      <c r="I241" s="3"/>
      <c r="J241" s="3"/>
      <c r="K241" s="3"/>
      <c r="L241" s="27"/>
      <c r="M241" s="28" t="str">
        <f aca="false">IF(E241="","",COUNT($E$5:E241))</f>
        <v/>
      </c>
      <c r="N241" s="28" t="str">
        <f aca="false">IF(F241="","",COUNT($F$5:F241))</f>
        <v/>
      </c>
      <c r="O241" s="28" t="str">
        <f aca="false">IF(H241="","",COUNT($H$5:H241))</f>
        <v/>
      </c>
    </row>
    <row r="242" customFormat="false" ht="15" hidden="false" customHeight="false" outlineLevel="0" collapsed="false">
      <c r="A242" s="26"/>
      <c r="B242" s="7" t="str">
        <f aca="false">IF(A242="","",INT((A242-'Tableau de bord'!$C$6)/7)+1)</f>
        <v/>
      </c>
      <c r="C242" s="3"/>
      <c r="D242" s="3"/>
      <c r="E242" s="3"/>
      <c r="F242" s="3"/>
      <c r="G242" s="3"/>
      <c r="H242" s="3"/>
      <c r="I242" s="3"/>
      <c r="J242" s="3"/>
      <c r="K242" s="3"/>
      <c r="L242" s="27"/>
      <c r="M242" s="28" t="str">
        <f aca="false">IF(E242="","",COUNT($E$5:E242))</f>
        <v/>
      </c>
      <c r="N242" s="28" t="str">
        <f aca="false">IF(F242="","",COUNT($F$5:F242))</f>
        <v/>
      </c>
      <c r="O242" s="28" t="str">
        <f aca="false">IF(H242="","",COUNT($H$5:H242))</f>
        <v/>
      </c>
    </row>
    <row r="243" customFormat="false" ht="15" hidden="false" customHeight="false" outlineLevel="0" collapsed="false">
      <c r="A243" s="26"/>
      <c r="B243" s="7" t="str">
        <f aca="false">IF(A243="","",INT((A243-'Tableau de bord'!$C$6)/7)+1)</f>
        <v/>
      </c>
      <c r="C243" s="3"/>
      <c r="D243" s="3"/>
      <c r="E243" s="3"/>
      <c r="F243" s="3"/>
      <c r="G243" s="3"/>
      <c r="H243" s="3"/>
      <c r="I243" s="3"/>
      <c r="J243" s="3"/>
      <c r="K243" s="3"/>
      <c r="L243" s="27"/>
      <c r="M243" s="28" t="str">
        <f aca="false">IF(E243="","",COUNT($E$5:E243))</f>
        <v/>
      </c>
      <c r="N243" s="28" t="str">
        <f aca="false">IF(F243="","",COUNT($F$5:F243))</f>
        <v/>
      </c>
      <c r="O243" s="28" t="str">
        <f aca="false">IF(H243="","",COUNT($H$5:H243))</f>
        <v/>
      </c>
    </row>
    <row r="244" customFormat="false" ht="15" hidden="false" customHeight="false" outlineLevel="0" collapsed="false">
      <c r="A244" s="26"/>
      <c r="B244" s="7" t="str">
        <f aca="false">IF(A244="","",INT((A244-'Tableau de bord'!$C$6)/7)+1)</f>
        <v/>
      </c>
      <c r="C244" s="3"/>
      <c r="D244" s="3"/>
      <c r="E244" s="3"/>
      <c r="F244" s="3"/>
      <c r="G244" s="3"/>
      <c r="H244" s="3"/>
      <c r="I244" s="3"/>
      <c r="J244" s="3"/>
      <c r="K244" s="3"/>
      <c r="L244" s="27"/>
      <c r="M244" s="28" t="str">
        <f aca="false">IF(E244="","",COUNT($E$5:E244))</f>
        <v/>
      </c>
      <c r="N244" s="28" t="str">
        <f aca="false">IF(F244="","",COUNT($F$5:F244))</f>
        <v/>
      </c>
      <c r="O244" s="28" t="str">
        <f aca="false">IF(H244="","",COUNT($H$5:H244))</f>
        <v/>
      </c>
    </row>
    <row r="245" customFormat="false" ht="15" hidden="false" customHeight="false" outlineLevel="0" collapsed="false">
      <c r="A245" s="26"/>
      <c r="B245" s="7" t="str">
        <f aca="false">IF(A245="","",INT((A245-'Tableau de bord'!$C$6)/7)+1)</f>
        <v/>
      </c>
      <c r="C245" s="3"/>
      <c r="D245" s="3"/>
      <c r="E245" s="3"/>
      <c r="F245" s="3"/>
      <c r="G245" s="3"/>
      <c r="H245" s="3"/>
      <c r="I245" s="3"/>
      <c r="J245" s="3"/>
      <c r="K245" s="3"/>
      <c r="L245" s="27"/>
      <c r="M245" s="28" t="str">
        <f aca="false">IF(E245="","",COUNT($E$5:E245))</f>
        <v/>
      </c>
      <c r="N245" s="28" t="str">
        <f aca="false">IF(F245="","",COUNT($F$5:F245))</f>
        <v/>
      </c>
      <c r="O245" s="28" t="str">
        <f aca="false">IF(H245="","",COUNT($H$5:H245))</f>
        <v/>
      </c>
    </row>
    <row r="246" customFormat="false" ht="15" hidden="false" customHeight="false" outlineLevel="0" collapsed="false">
      <c r="A246" s="26"/>
      <c r="B246" s="7" t="str">
        <f aca="false">IF(A246="","",INT((A246-'Tableau de bord'!$C$6)/7)+1)</f>
        <v/>
      </c>
      <c r="C246" s="3"/>
      <c r="D246" s="3"/>
      <c r="E246" s="3"/>
      <c r="F246" s="3"/>
      <c r="G246" s="3"/>
      <c r="H246" s="3"/>
      <c r="I246" s="3"/>
      <c r="J246" s="3"/>
      <c r="K246" s="3"/>
      <c r="L246" s="27"/>
      <c r="M246" s="28" t="str">
        <f aca="false">IF(E246="","",COUNT($E$5:E246))</f>
        <v/>
      </c>
      <c r="N246" s="28" t="str">
        <f aca="false">IF(F246="","",COUNT($F$5:F246))</f>
        <v/>
      </c>
      <c r="O246" s="28" t="str">
        <f aca="false">IF(H246="","",COUNT($H$5:H246))</f>
        <v/>
      </c>
    </row>
    <row r="247" customFormat="false" ht="15" hidden="false" customHeight="false" outlineLevel="0" collapsed="false">
      <c r="A247" s="26"/>
      <c r="B247" s="7" t="str">
        <f aca="false">IF(A247="","",INT((A247-'Tableau de bord'!$C$6)/7)+1)</f>
        <v/>
      </c>
      <c r="C247" s="3"/>
      <c r="D247" s="3"/>
      <c r="E247" s="3"/>
      <c r="F247" s="3"/>
      <c r="G247" s="3"/>
      <c r="H247" s="3"/>
      <c r="I247" s="3"/>
      <c r="J247" s="3"/>
      <c r="K247" s="3"/>
      <c r="L247" s="27"/>
      <c r="M247" s="28" t="str">
        <f aca="false">IF(E247="","",COUNT($E$5:E247))</f>
        <v/>
      </c>
      <c r="N247" s="28" t="str">
        <f aca="false">IF(F247="","",COUNT($F$5:F247))</f>
        <v/>
      </c>
      <c r="O247" s="28" t="str">
        <f aca="false">IF(H247="","",COUNT($H$5:H247))</f>
        <v/>
      </c>
    </row>
    <row r="248" customFormat="false" ht="15" hidden="false" customHeight="false" outlineLevel="0" collapsed="false">
      <c r="A248" s="26"/>
      <c r="B248" s="7" t="str">
        <f aca="false">IF(A248="","",INT((A248-'Tableau de bord'!$C$6)/7)+1)</f>
        <v/>
      </c>
      <c r="C248" s="3"/>
      <c r="D248" s="3"/>
      <c r="E248" s="3"/>
      <c r="F248" s="3"/>
      <c r="G248" s="3"/>
      <c r="H248" s="3"/>
      <c r="I248" s="3"/>
      <c r="J248" s="3"/>
      <c r="K248" s="3"/>
      <c r="L248" s="27"/>
      <c r="M248" s="28" t="str">
        <f aca="false">IF(E248="","",COUNT($E$5:E248))</f>
        <v/>
      </c>
      <c r="N248" s="28" t="str">
        <f aca="false">IF(F248="","",COUNT($F$5:F248))</f>
        <v/>
      </c>
      <c r="O248" s="28" t="str">
        <f aca="false">IF(H248="","",COUNT($H$5:H248))</f>
        <v/>
      </c>
    </row>
    <row r="249" customFormat="false" ht="15" hidden="false" customHeight="false" outlineLevel="0" collapsed="false">
      <c r="A249" s="26"/>
      <c r="B249" s="7" t="str">
        <f aca="false">IF(A249="","",INT((A249-'Tableau de bord'!$C$6)/7)+1)</f>
        <v/>
      </c>
      <c r="C249" s="3"/>
      <c r="D249" s="3"/>
      <c r="E249" s="3"/>
      <c r="F249" s="3"/>
      <c r="G249" s="3"/>
      <c r="H249" s="3"/>
      <c r="I249" s="3"/>
      <c r="J249" s="3"/>
      <c r="K249" s="3"/>
      <c r="L249" s="27"/>
      <c r="M249" s="28" t="str">
        <f aca="false">IF(E249="","",COUNT($E$5:E249))</f>
        <v/>
      </c>
      <c r="N249" s="28" t="str">
        <f aca="false">IF(F249="","",COUNT($F$5:F249))</f>
        <v/>
      </c>
      <c r="O249" s="28" t="str">
        <f aca="false">IF(H249="","",COUNT($H$5:H249))</f>
        <v/>
      </c>
    </row>
    <row r="250" customFormat="false" ht="15" hidden="false" customHeight="false" outlineLevel="0" collapsed="false">
      <c r="A250" s="26"/>
      <c r="B250" s="7" t="str">
        <f aca="false">IF(A250="","",INT((A250-'Tableau de bord'!$C$6)/7)+1)</f>
        <v/>
      </c>
      <c r="C250" s="3"/>
      <c r="D250" s="3"/>
      <c r="E250" s="3"/>
      <c r="F250" s="3"/>
      <c r="G250" s="3"/>
      <c r="H250" s="3"/>
      <c r="I250" s="3"/>
      <c r="J250" s="3"/>
      <c r="K250" s="3"/>
      <c r="L250" s="27"/>
      <c r="M250" s="28" t="str">
        <f aca="false">IF(E250="","",COUNT($E$5:E250))</f>
        <v/>
      </c>
      <c r="N250" s="28" t="str">
        <f aca="false">IF(F250="","",COUNT($F$5:F250))</f>
        <v/>
      </c>
      <c r="O250" s="28" t="str">
        <f aca="false">IF(H250="","",COUNT($H$5:H250))</f>
        <v/>
      </c>
    </row>
    <row r="251" customFormat="false" ht="15" hidden="false" customHeight="false" outlineLevel="0" collapsed="false">
      <c r="A251" s="26"/>
      <c r="B251" s="7" t="str">
        <f aca="false">IF(A251="","",INT((A251-'Tableau de bord'!$C$6)/7)+1)</f>
        <v/>
      </c>
      <c r="C251" s="3"/>
      <c r="D251" s="3"/>
      <c r="E251" s="3"/>
      <c r="F251" s="3"/>
      <c r="G251" s="3"/>
      <c r="H251" s="3"/>
      <c r="I251" s="3"/>
      <c r="J251" s="3"/>
      <c r="K251" s="3"/>
      <c r="L251" s="27"/>
      <c r="M251" s="28" t="str">
        <f aca="false">IF(E251="","",COUNT($E$5:E251))</f>
        <v/>
      </c>
      <c r="N251" s="28" t="str">
        <f aca="false">IF(F251="","",COUNT($F$5:F251))</f>
        <v/>
      </c>
      <c r="O251" s="28" t="str">
        <f aca="false">IF(H251="","",COUNT($H$5:H251))</f>
        <v/>
      </c>
    </row>
    <row r="252" customFormat="false" ht="15" hidden="false" customHeight="false" outlineLevel="0" collapsed="false">
      <c r="A252" s="26"/>
      <c r="B252" s="7" t="str">
        <f aca="false">IF(A252="","",INT((A252-'Tableau de bord'!$C$6)/7)+1)</f>
        <v/>
      </c>
      <c r="C252" s="3"/>
      <c r="D252" s="3"/>
      <c r="E252" s="3"/>
      <c r="F252" s="3"/>
      <c r="G252" s="3"/>
      <c r="H252" s="3"/>
      <c r="I252" s="3"/>
      <c r="J252" s="3"/>
      <c r="K252" s="3"/>
      <c r="L252" s="27"/>
      <c r="M252" s="28" t="str">
        <f aca="false">IF(E252="","",COUNT($E$5:E252))</f>
        <v/>
      </c>
      <c r="N252" s="28" t="str">
        <f aca="false">IF(F252="","",COUNT($F$5:F252))</f>
        <v/>
      </c>
      <c r="O252" s="28" t="str">
        <f aca="false">IF(H252="","",COUNT($H$5:H252))</f>
        <v/>
      </c>
    </row>
    <row r="253" customFormat="false" ht="15" hidden="false" customHeight="false" outlineLevel="0" collapsed="false">
      <c r="A253" s="26"/>
      <c r="B253" s="7" t="str">
        <f aca="false">IF(A253="","",INT((A253-'Tableau de bord'!$C$6)/7)+1)</f>
        <v/>
      </c>
      <c r="C253" s="3"/>
      <c r="D253" s="3"/>
      <c r="E253" s="3"/>
      <c r="F253" s="3"/>
      <c r="G253" s="3"/>
      <c r="H253" s="3"/>
      <c r="I253" s="3"/>
      <c r="J253" s="3"/>
      <c r="K253" s="3"/>
      <c r="L253" s="27"/>
      <c r="M253" s="28" t="str">
        <f aca="false">IF(E253="","",COUNT($E$5:E253))</f>
        <v/>
      </c>
      <c r="N253" s="28" t="str">
        <f aca="false">IF(F253="","",COUNT($F$5:F253))</f>
        <v/>
      </c>
      <c r="O253" s="28" t="str">
        <f aca="false">IF(H253="","",COUNT($H$5:H253))</f>
        <v/>
      </c>
    </row>
    <row r="254" customFormat="false" ht="15" hidden="false" customHeight="false" outlineLevel="0" collapsed="false">
      <c r="A254" s="26"/>
      <c r="B254" s="7" t="str">
        <f aca="false">IF(A254="","",INT((A254-'Tableau de bord'!$C$6)/7)+1)</f>
        <v/>
      </c>
      <c r="C254" s="3"/>
      <c r="D254" s="3"/>
      <c r="E254" s="3"/>
      <c r="F254" s="3"/>
      <c r="G254" s="3"/>
      <c r="H254" s="3"/>
      <c r="I254" s="3"/>
      <c r="J254" s="3"/>
      <c r="K254" s="3"/>
      <c r="L254" s="27"/>
      <c r="M254" s="28" t="str">
        <f aca="false">IF(E254="","",COUNT($E$5:E254))</f>
        <v/>
      </c>
      <c r="N254" s="28" t="str">
        <f aca="false">IF(F254="","",COUNT($F$5:F254))</f>
        <v/>
      </c>
      <c r="O254" s="28" t="str">
        <f aca="false">IF(H254="","",COUNT($H$5:H254))</f>
        <v/>
      </c>
    </row>
    <row r="255" customFormat="false" ht="15" hidden="false" customHeight="false" outlineLevel="0" collapsed="false">
      <c r="A255" s="26"/>
      <c r="B255" s="7" t="str">
        <f aca="false">IF(A255="","",INT((A255-'Tableau de bord'!$C$6)/7)+1)</f>
        <v/>
      </c>
      <c r="C255" s="3"/>
      <c r="D255" s="3"/>
      <c r="E255" s="3"/>
      <c r="F255" s="3"/>
      <c r="G255" s="3"/>
      <c r="H255" s="3"/>
      <c r="I255" s="3"/>
      <c r="J255" s="3"/>
      <c r="K255" s="3"/>
      <c r="L255" s="27"/>
      <c r="M255" s="28" t="str">
        <f aca="false">IF(E255="","",COUNT($E$5:E255))</f>
        <v/>
      </c>
      <c r="N255" s="28" t="str">
        <f aca="false">IF(F255="","",COUNT($F$5:F255))</f>
        <v/>
      </c>
      <c r="O255" s="28" t="str">
        <f aca="false">IF(H255="","",COUNT($H$5:H255))</f>
        <v/>
      </c>
    </row>
    <row r="256" customFormat="false" ht="15" hidden="false" customHeight="false" outlineLevel="0" collapsed="false">
      <c r="A256" s="26"/>
      <c r="B256" s="7" t="str">
        <f aca="false">IF(A256="","",INT((A256-'Tableau de bord'!$C$6)/7)+1)</f>
        <v/>
      </c>
      <c r="C256" s="3"/>
      <c r="D256" s="3"/>
      <c r="E256" s="3"/>
      <c r="F256" s="3"/>
      <c r="G256" s="3"/>
      <c r="H256" s="3"/>
      <c r="I256" s="3"/>
      <c r="J256" s="3"/>
      <c r="K256" s="3"/>
      <c r="L256" s="27"/>
      <c r="M256" s="28" t="str">
        <f aca="false">IF(E256="","",COUNT($E$5:E256))</f>
        <v/>
      </c>
      <c r="N256" s="28" t="str">
        <f aca="false">IF(F256="","",COUNT($F$5:F256))</f>
        <v/>
      </c>
      <c r="O256" s="28" t="str">
        <f aca="false">IF(H256="","",COUNT($H$5:H256))</f>
        <v/>
      </c>
    </row>
    <row r="257" customFormat="false" ht="15" hidden="false" customHeight="false" outlineLevel="0" collapsed="false">
      <c r="A257" s="26"/>
      <c r="B257" s="7" t="str">
        <f aca="false">IF(A257="","",INT((A257-'Tableau de bord'!$C$6)/7)+1)</f>
        <v/>
      </c>
      <c r="C257" s="3"/>
      <c r="D257" s="3"/>
      <c r="E257" s="3"/>
      <c r="F257" s="3"/>
      <c r="G257" s="3"/>
      <c r="H257" s="3"/>
      <c r="I257" s="3"/>
      <c r="J257" s="3"/>
      <c r="K257" s="3"/>
      <c r="L257" s="27"/>
      <c r="M257" s="28" t="str">
        <f aca="false">IF(E257="","",COUNT($E$5:E257))</f>
        <v/>
      </c>
      <c r="N257" s="28" t="str">
        <f aca="false">IF(F257="","",COUNT($F$5:F257))</f>
        <v/>
      </c>
      <c r="O257" s="28" t="str">
        <f aca="false">IF(H257="","",COUNT($H$5:H257))</f>
        <v/>
      </c>
    </row>
    <row r="258" customFormat="false" ht="15" hidden="false" customHeight="false" outlineLevel="0" collapsed="false">
      <c r="A258" s="26"/>
      <c r="B258" s="7" t="str">
        <f aca="false">IF(A258="","",INT((A258-'Tableau de bord'!$C$6)/7)+1)</f>
        <v/>
      </c>
      <c r="C258" s="3"/>
      <c r="D258" s="3"/>
      <c r="E258" s="3"/>
      <c r="F258" s="3"/>
      <c r="G258" s="3"/>
      <c r="H258" s="3"/>
      <c r="I258" s="3"/>
      <c r="J258" s="3"/>
      <c r="K258" s="3"/>
      <c r="L258" s="27"/>
      <c r="M258" s="28" t="str">
        <f aca="false">IF(E258="","",COUNT($E$5:E258))</f>
        <v/>
      </c>
      <c r="N258" s="28" t="str">
        <f aca="false">IF(F258="","",COUNT($F$5:F258))</f>
        <v/>
      </c>
      <c r="O258" s="28" t="str">
        <f aca="false">IF(H258="","",COUNT($H$5:H258))</f>
        <v/>
      </c>
    </row>
    <row r="259" customFormat="false" ht="15" hidden="false" customHeight="false" outlineLevel="0" collapsed="false">
      <c r="A259" s="26"/>
      <c r="B259" s="7" t="str">
        <f aca="false">IF(A259="","",INT((A259-'Tableau de bord'!$C$6)/7)+1)</f>
        <v/>
      </c>
      <c r="C259" s="3"/>
      <c r="D259" s="3"/>
      <c r="E259" s="3"/>
      <c r="F259" s="3"/>
      <c r="G259" s="3"/>
      <c r="H259" s="3"/>
      <c r="I259" s="3"/>
      <c r="J259" s="3"/>
      <c r="K259" s="3"/>
      <c r="L259" s="27"/>
      <c r="M259" s="28" t="str">
        <f aca="false">IF(E259="","",COUNT($E$5:E259))</f>
        <v/>
      </c>
      <c r="N259" s="28" t="str">
        <f aca="false">IF(F259="","",COUNT($F$5:F259))</f>
        <v/>
      </c>
      <c r="O259" s="28" t="str">
        <f aca="false">IF(H259="","",COUNT($H$5:H259))</f>
        <v/>
      </c>
    </row>
    <row r="260" customFormat="false" ht="15" hidden="false" customHeight="false" outlineLevel="0" collapsed="false">
      <c r="A260" s="26"/>
      <c r="B260" s="7" t="str">
        <f aca="false">IF(A260="","",INT((A260-'Tableau de bord'!$C$6)/7)+1)</f>
        <v/>
      </c>
      <c r="C260" s="3"/>
      <c r="D260" s="3"/>
      <c r="E260" s="3"/>
      <c r="F260" s="3"/>
      <c r="G260" s="3"/>
      <c r="H260" s="3"/>
      <c r="I260" s="3"/>
      <c r="J260" s="3"/>
      <c r="K260" s="3"/>
      <c r="L260" s="27"/>
      <c r="M260" s="28" t="str">
        <f aca="false">IF(E260="","",COUNT($E$5:E260))</f>
        <v/>
      </c>
      <c r="N260" s="28" t="str">
        <f aca="false">IF(F260="","",COUNT($F$5:F260))</f>
        <v/>
      </c>
      <c r="O260" s="28" t="str">
        <f aca="false">IF(H260="","",COUNT($H$5:H260))</f>
        <v/>
      </c>
    </row>
    <row r="261" customFormat="false" ht="15" hidden="false" customHeight="false" outlineLevel="0" collapsed="false">
      <c r="A261" s="26"/>
      <c r="B261" s="7" t="str">
        <f aca="false">IF(A261="","",INT((A261-'Tableau de bord'!$C$6)/7)+1)</f>
        <v/>
      </c>
      <c r="C261" s="3"/>
      <c r="D261" s="3"/>
      <c r="E261" s="3"/>
      <c r="F261" s="3"/>
      <c r="G261" s="3"/>
      <c r="H261" s="3"/>
      <c r="I261" s="3"/>
      <c r="J261" s="3"/>
      <c r="K261" s="3"/>
      <c r="L261" s="27"/>
      <c r="M261" s="28" t="str">
        <f aca="false">IF(E261="","",COUNT($E$5:E261))</f>
        <v/>
      </c>
      <c r="N261" s="28" t="str">
        <f aca="false">IF(F261="","",COUNT($F$5:F261))</f>
        <v/>
      </c>
      <c r="O261" s="28" t="str">
        <f aca="false">IF(H261="","",COUNT($H$5:H261))</f>
        <v/>
      </c>
    </row>
    <row r="262" customFormat="false" ht="15" hidden="false" customHeight="false" outlineLevel="0" collapsed="false">
      <c r="A262" s="26"/>
      <c r="B262" s="7" t="str">
        <f aca="false">IF(A262="","",INT((A262-'Tableau de bord'!$C$6)/7)+1)</f>
        <v/>
      </c>
      <c r="C262" s="3"/>
      <c r="D262" s="3"/>
      <c r="E262" s="3"/>
      <c r="F262" s="3"/>
      <c r="G262" s="3"/>
      <c r="H262" s="3"/>
      <c r="I262" s="3"/>
      <c r="J262" s="3"/>
      <c r="K262" s="3"/>
      <c r="L262" s="27"/>
      <c r="M262" s="28" t="str">
        <f aca="false">IF(E262="","",COUNT($E$5:E262))</f>
        <v/>
      </c>
      <c r="N262" s="28" t="str">
        <f aca="false">IF(F262="","",COUNT($F$5:F262))</f>
        <v/>
      </c>
      <c r="O262" s="28" t="str">
        <f aca="false">IF(H262="","",COUNT($H$5:H262))</f>
        <v/>
      </c>
    </row>
    <row r="263" customFormat="false" ht="15" hidden="false" customHeight="false" outlineLevel="0" collapsed="false">
      <c r="A263" s="26"/>
      <c r="B263" s="7" t="str">
        <f aca="false">IF(A263="","",INT((A263-'Tableau de bord'!$C$6)/7)+1)</f>
        <v/>
      </c>
      <c r="C263" s="3"/>
      <c r="D263" s="3"/>
      <c r="E263" s="3"/>
      <c r="F263" s="3"/>
      <c r="G263" s="3"/>
      <c r="H263" s="3"/>
      <c r="I263" s="3"/>
      <c r="J263" s="3"/>
      <c r="K263" s="3"/>
      <c r="L263" s="27"/>
      <c r="M263" s="28" t="str">
        <f aca="false">IF(E263="","",COUNT($E$5:E263))</f>
        <v/>
      </c>
      <c r="N263" s="28" t="str">
        <f aca="false">IF(F263="","",COUNT($F$5:F263))</f>
        <v/>
      </c>
      <c r="O263" s="28" t="str">
        <f aca="false">IF(H263="","",COUNT($H$5:H263))</f>
        <v/>
      </c>
    </row>
    <row r="264" customFormat="false" ht="15" hidden="false" customHeight="false" outlineLevel="0" collapsed="false">
      <c r="A264" s="26"/>
      <c r="B264" s="7" t="str">
        <f aca="false">IF(A264="","",INT((A264-'Tableau de bord'!$C$6)/7)+1)</f>
        <v/>
      </c>
      <c r="C264" s="3"/>
      <c r="D264" s="3"/>
      <c r="E264" s="3"/>
      <c r="F264" s="3"/>
      <c r="G264" s="3"/>
      <c r="H264" s="3"/>
      <c r="I264" s="3"/>
      <c r="J264" s="3"/>
      <c r="K264" s="3"/>
      <c r="L264" s="27"/>
      <c r="M264" s="28" t="str">
        <f aca="false">IF(E264="","",COUNT($E$5:E264))</f>
        <v/>
      </c>
      <c r="N264" s="28" t="str">
        <f aca="false">IF(F264="","",COUNT($F$5:F264))</f>
        <v/>
      </c>
      <c r="O264" s="28" t="str">
        <f aca="false">IF(H264="","",COUNT($H$5:H264))</f>
        <v/>
      </c>
    </row>
    <row r="265" customFormat="false" ht="15" hidden="false" customHeight="false" outlineLevel="0" collapsed="false">
      <c r="A265" s="26"/>
      <c r="B265" s="7" t="str">
        <f aca="false">IF(A265="","",INT((A265-'Tableau de bord'!$C$6)/7)+1)</f>
        <v/>
      </c>
      <c r="C265" s="3"/>
      <c r="D265" s="3"/>
      <c r="E265" s="3"/>
      <c r="F265" s="3"/>
      <c r="G265" s="3"/>
      <c r="H265" s="3"/>
      <c r="I265" s="3"/>
      <c r="J265" s="3"/>
      <c r="K265" s="3"/>
      <c r="L265" s="27"/>
      <c r="M265" s="28" t="str">
        <f aca="false">IF(E265="","",COUNT($E$5:E265))</f>
        <v/>
      </c>
      <c r="N265" s="28" t="str">
        <f aca="false">IF(F265="","",COUNT($F$5:F265))</f>
        <v/>
      </c>
      <c r="O265" s="28" t="str">
        <f aca="false">IF(H265="","",COUNT($H$5:H265))</f>
        <v/>
      </c>
    </row>
    <row r="266" customFormat="false" ht="15" hidden="false" customHeight="false" outlineLevel="0" collapsed="false">
      <c r="A266" s="26"/>
      <c r="B266" s="7" t="str">
        <f aca="false">IF(A266="","",INT((A266-'Tableau de bord'!$C$6)/7)+1)</f>
        <v/>
      </c>
      <c r="C266" s="3"/>
      <c r="D266" s="3"/>
      <c r="E266" s="3"/>
      <c r="F266" s="3"/>
      <c r="G266" s="3"/>
      <c r="H266" s="3"/>
      <c r="I266" s="3"/>
      <c r="J266" s="3"/>
      <c r="K266" s="3"/>
      <c r="L266" s="27"/>
      <c r="M266" s="28" t="str">
        <f aca="false">IF(E266="","",COUNT($E$5:E266))</f>
        <v/>
      </c>
      <c r="N266" s="28" t="str">
        <f aca="false">IF(F266="","",COUNT($F$5:F266))</f>
        <v/>
      </c>
      <c r="O266" s="28" t="str">
        <f aca="false">IF(H266="","",COUNT($H$5:H266))</f>
        <v/>
      </c>
    </row>
    <row r="267" customFormat="false" ht="15" hidden="false" customHeight="false" outlineLevel="0" collapsed="false">
      <c r="A267" s="26"/>
      <c r="B267" s="7" t="str">
        <f aca="false">IF(A267="","",INT((A267-'Tableau de bord'!$C$6)/7)+1)</f>
        <v/>
      </c>
      <c r="C267" s="3"/>
      <c r="D267" s="3"/>
      <c r="E267" s="3"/>
      <c r="F267" s="3"/>
      <c r="G267" s="3"/>
      <c r="H267" s="3"/>
      <c r="I267" s="3"/>
      <c r="J267" s="3"/>
      <c r="K267" s="3"/>
      <c r="L267" s="27"/>
      <c r="M267" s="28" t="str">
        <f aca="false">IF(E267="","",COUNT($E$5:E267))</f>
        <v/>
      </c>
      <c r="N267" s="28" t="str">
        <f aca="false">IF(F267="","",COUNT($F$5:F267))</f>
        <v/>
      </c>
      <c r="O267" s="28" t="str">
        <f aca="false">IF(H267="","",COUNT($H$5:H267))</f>
        <v/>
      </c>
    </row>
    <row r="268" customFormat="false" ht="15" hidden="false" customHeight="false" outlineLevel="0" collapsed="false">
      <c r="A268" s="26"/>
      <c r="B268" s="7" t="str">
        <f aca="false">IF(A268="","",INT((A268-'Tableau de bord'!$C$6)/7)+1)</f>
        <v/>
      </c>
      <c r="C268" s="3"/>
      <c r="D268" s="3"/>
      <c r="E268" s="3"/>
      <c r="F268" s="3"/>
      <c r="G268" s="3"/>
      <c r="H268" s="3"/>
      <c r="I268" s="3"/>
      <c r="J268" s="3"/>
      <c r="K268" s="3"/>
      <c r="L268" s="27"/>
      <c r="M268" s="28" t="str">
        <f aca="false">IF(E268="","",COUNT($E$5:E268))</f>
        <v/>
      </c>
      <c r="N268" s="28" t="str">
        <f aca="false">IF(F268="","",COUNT($F$5:F268))</f>
        <v/>
      </c>
      <c r="O268" s="28" t="str">
        <f aca="false">IF(H268="","",COUNT($H$5:H268))</f>
        <v/>
      </c>
    </row>
    <row r="269" customFormat="false" ht="15" hidden="false" customHeight="false" outlineLevel="0" collapsed="false">
      <c r="A269" s="26"/>
      <c r="B269" s="7" t="str">
        <f aca="false">IF(A269="","",INT((A269-'Tableau de bord'!$C$6)/7)+1)</f>
        <v/>
      </c>
      <c r="C269" s="3"/>
      <c r="D269" s="3"/>
      <c r="E269" s="3"/>
      <c r="F269" s="3"/>
      <c r="G269" s="3"/>
      <c r="H269" s="3"/>
      <c r="I269" s="3"/>
      <c r="J269" s="3"/>
      <c r="K269" s="3"/>
      <c r="L269" s="27"/>
      <c r="M269" s="28" t="str">
        <f aca="false">IF(E269="","",COUNT($E$5:E269))</f>
        <v/>
      </c>
      <c r="N269" s="28" t="str">
        <f aca="false">IF(F269="","",COUNT($F$5:F269))</f>
        <v/>
      </c>
      <c r="O269" s="28" t="str">
        <f aca="false">IF(H269="","",COUNT($H$5:H269))</f>
        <v/>
      </c>
    </row>
    <row r="270" customFormat="false" ht="15" hidden="false" customHeight="false" outlineLevel="0" collapsed="false">
      <c r="A270" s="26"/>
      <c r="B270" s="7" t="str">
        <f aca="false">IF(A270="","",INT((A270-'Tableau de bord'!$C$6)/7)+1)</f>
        <v/>
      </c>
      <c r="C270" s="3"/>
      <c r="D270" s="3"/>
      <c r="E270" s="3"/>
      <c r="F270" s="3"/>
      <c r="G270" s="3"/>
      <c r="H270" s="3"/>
      <c r="I270" s="3"/>
      <c r="J270" s="3"/>
      <c r="K270" s="3"/>
      <c r="L270" s="27"/>
      <c r="M270" s="28" t="str">
        <f aca="false">IF(E270="","",COUNT($E$5:E270))</f>
        <v/>
      </c>
      <c r="N270" s="28" t="str">
        <f aca="false">IF(F270="","",COUNT($F$5:F270))</f>
        <v/>
      </c>
      <c r="O270" s="28" t="str">
        <f aca="false">IF(H270="","",COUNT($H$5:H270))</f>
        <v/>
      </c>
    </row>
    <row r="271" customFormat="false" ht="15" hidden="false" customHeight="false" outlineLevel="0" collapsed="false">
      <c r="A271" s="26"/>
      <c r="B271" s="7" t="str">
        <f aca="false">IF(A271="","",INT((A271-'Tableau de bord'!$C$6)/7)+1)</f>
        <v/>
      </c>
      <c r="C271" s="3"/>
      <c r="D271" s="3"/>
      <c r="E271" s="3"/>
      <c r="F271" s="3"/>
      <c r="G271" s="3"/>
      <c r="H271" s="3"/>
      <c r="I271" s="3"/>
      <c r="J271" s="3"/>
      <c r="K271" s="3"/>
      <c r="L271" s="27"/>
      <c r="M271" s="28" t="str">
        <f aca="false">IF(E271="","",COUNT($E$5:E271))</f>
        <v/>
      </c>
      <c r="N271" s="28" t="str">
        <f aca="false">IF(F271="","",COUNT($F$5:F271))</f>
        <v/>
      </c>
      <c r="O271" s="28" t="str">
        <f aca="false">IF(H271="","",COUNT($H$5:H271))</f>
        <v/>
      </c>
    </row>
    <row r="272" customFormat="false" ht="15" hidden="false" customHeight="false" outlineLevel="0" collapsed="false">
      <c r="A272" s="26"/>
      <c r="B272" s="7" t="str">
        <f aca="false">IF(A272="","",INT((A272-'Tableau de bord'!$C$6)/7)+1)</f>
        <v/>
      </c>
      <c r="C272" s="3"/>
      <c r="D272" s="3"/>
      <c r="E272" s="3"/>
      <c r="F272" s="3"/>
      <c r="G272" s="3"/>
      <c r="H272" s="3"/>
      <c r="I272" s="3"/>
      <c r="J272" s="3"/>
      <c r="K272" s="3"/>
      <c r="L272" s="27"/>
      <c r="M272" s="28" t="str">
        <f aca="false">IF(E272="","",COUNT($E$5:E272))</f>
        <v/>
      </c>
      <c r="N272" s="28" t="str">
        <f aca="false">IF(F272="","",COUNT($F$5:F272))</f>
        <v/>
      </c>
      <c r="O272" s="28" t="str">
        <f aca="false">IF(H272="","",COUNT($H$5:H272))</f>
        <v/>
      </c>
    </row>
    <row r="273" customFormat="false" ht="15" hidden="false" customHeight="false" outlineLevel="0" collapsed="false">
      <c r="A273" s="26"/>
      <c r="B273" s="7" t="str">
        <f aca="false">IF(A273="","",INT((A273-'Tableau de bord'!$C$6)/7)+1)</f>
        <v/>
      </c>
      <c r="C273" s="3"/>
      <c r="D273" s="3"/>
      <c r="E273" s="3"/>
      <c r="F273" s="3"/>
      <c r="G273" s="3"/>
      <c r="H273" s="3"/>
      <c r="I273" s="3"/>
      <c r="J273" s="3"/>
      <c r="K273" s="3"/>
      <c r="L273" s="27"/>
      <c r="M273" s="28" t="str">
        <f aca="false">IF(E273="","",COUNT($E$5:E273))</f>
        <v/>
      </c>
      <c r="N273" s="28" t="str">
        <f aca="false">IF(F273="","",COUNT($F$5:F273))</f>
        <v/>
      </c>
      <c r="O273" s="28" t="str">
        <f aca="false">IF(H273="","",COUNT($H$5:H273))</f>
        <v/>
      </c>
    </row>
    <row r="274" customFormat="false" ht="15" hidden="false" customHeight="false" outlineLevel="0" collapsed="false">
      <c r="A274" s="26"/>
      <c r="B274" s="7" t="str">
        <f aca="false">IF(A274="","",INT((A274-'Tableau de bord'!$C$6)/7)+1)</f>
        <v/>
      </c>
      <c r="C274" s="3"/>
      <c r="D274" s="3"/>
      <c r="E274" s="3"/>
      <c r="F274" s="3"/>
      <c r="G274" s="3"/>
      <c r="H274" s="3"/>
      <c r="I274" s="3"/>
      <c r="J274" s="3"/>
      <c r="K274" s="3"/>
      <c r="L274" s="27"/>
      <c r="M274" s="28" t="str">
        <f aca="false">IF(E274="","",COUNT($E$5:E274))</f>
        <v/>
      </c>
      <c r="N274" s="28" t="str">
        <f aca="false">IF(F274="","",COUNT($F$5:F274))</f>
        <v/>
      </c>
      <c r="O274" s="28" t="str">
        <f aca="false">IF(H274="","",COUNT($H$5:H274))</f>
        <v/>
      </c>
    </row>
    <row r="275" customFormat="false" ht="15" hidden="false" customHeight="false" outlineLevel="0" collapsed="false">
      <c r="A275" s="26"/>
      <c r="B275" s="7" t="str">
        <f aca="false">IF(A275="","",INT((A275-'Tableau de bord'!$C$6)/7)+1)</f>
        <v/>
      </c>
      <c r="C275" s="3"/>
      <c r="D275" s="3"/>
      <c r="E275" s="3"/>
      <c r="F275" s="3"/>
      <c r="G275" s="3"/>
      <c r="H275" s="3"/>
      <c r="I275" s="3"/>
      <c r="J275" s="3"/>
      <c r="K275" s="3"/>
      <c r="L275" s="27"/>
      <c r="M275" s="28" t="str">
        <f aca="false">IF(E275="","",COUNT($E$5:E275))</f>
        <v/>
      </c>
      <c r="N275" s="28" t="str">
        <f aca="false">IF(F275="","",COUNT($F$5:F275))</f>
        <v/>
      </c>
      <c r="O275" s="28" t="str">
        <f aca="false">IF(H275="","",COUNT($H$5:H275))</f>
        <v/>
      </c>
    </row>
    <row r="276" customFormat="false" ht="15" hidden="false" customHeight="false" outlineLevel="0" collapsed="false">
      <c r="A276" s="26"/>
      <c r="B276" s="7" t="str">
        <f aca="false">IF(A276="","",INT((A276-'Tableau de bord'!$C$6)/7)+1)</f>
        <v/>
      </c>
      <c r="C276" s="3"/>
      <c r="D276" s="3"/>
      <c r="E276" s="3"/>
      <c r="F276" s="3"/>
      <c r="G276" s="3"/>
      <c r="H276" s="3"/>
      <c r="I276" s="3"/>
      <c r="J276" s="3"/>
      <c r="K276" s="3"/>
      <c r="L276" s="27"/>
      <c r="M276" s="28" t="str">
        <f aca="false">IF(E276="","",COUNT($E$5:E276))</f>
        <v/>
      </c>
      <c r="N276" s="28" t="str">
        <f aca="false">IF(F276="","",COUNT($F$5:F276))</f>
        <v/>
      </c>
      <c r="O276" s="28" t="str">
        <f aca="false">IF(H276="","",COUNT($H$5:H276))</f>
        <v/>
      </c>
    </row>
    <row r="277" customFormat="false" ht="15" hidden="false" customHeight="false" outlineLevel="0" collapsed="false">
      <c r="A277" s="26"/>
      <c r="B277" s="7" t="str">
        <f aca="false">IF(A277="","",INT((A277-'Tableau de bord'!$C$6)/7)+1)</f>
        <v/>
      </c>
      <c r="C277" s="3"/>
      <c r="D277" s="3"/>
      <c r="E277" s="3"/>
      <c r="F277" s="3"/>
      <c r="G277" s="3"/>
      <c r="H277" s="3"/>
      <c r="I277" s="3"/>
      <c r="J277" s="3"/>
      <c r="K277" s="3"/>
      <c r="L277" s="27"/>
      <c r="M277" s="28" t="str">
        <f aca="false">IF(E277="","",COUNT($E$5:E277))</f>
        <v/>
      </c>
      <c r="N277" s="28" t="str">
        <f aca="false">IF(F277="","",COUNT($F$5:F277))</f>
        <v/>
      </c>
      <c r="O277" s="28" t="str">
        <f aca="false">IF(H277="","",COUNT($H$5:H277))</f>
        <v/>
      </c>
    </row>
    <row r="278" customFormat="false" ht="15" hidden="false" customHeight="false" outlineLevel="0" collapsed="false">
      <c r="A278" s="26"/>
      <c r="B278" s="7" t="str">
        <f aca="false">IF(A278="","",INT((A278-'Tableau de bord'!$C$6)/7)+1)</f>
        <v/>
      </c>
      <c r="C278" s="3"/>
      <c r="D278" s="3"/>
      <c r="E278" s="3"/>
      <c r="F278" s="3"/>
      <c r="G278" s="3"/>
      <c r="H278" s="3"/>
      <c r="I278" s="3"/>
      <c r="J278" s="3"/>
      <c r="K278" s="3"/>
      <c r="L278" s="27"/>
      <c r="M278" s="28" t="str">
        <f aca="false">IF(E278="","",COUNT($E$5:E278))</f>
        <v/>
      </c>
      <c r="N278" s="28" t="str">
        <f aca="false">IF(F278="","",COUNT($F$5:F278))</f>
        <v/>
      </c>
      <c r="O278" s="28" t="str">
        <f aca="false">IF(H278="","",COUNT($H$5:H278))</f>
        <v/>
      </c>
    </row>
    <row r="279" customFormat="false" ht="15" hidden="false" customHeight="false" outlineLevel="0" collapsed="false">
      <c r="A279" s="26"/>
      <c r="B279" s="7" t="str">
        <f aca="false">IF(A279="","",INT((A279-'Tableau de bord'!$C$6)/7)+1)</f>
        <v/>
      </c>
      <c r="C279" s="3"/>
      <c r="D279" s="3"/>
      <c r="E279" s="3"/>
      <c r="F279" s="3"/>
      <c r="G279" s="3"/>
      <c r="H279" s="3"/>
      <c r="I279" s="3"/>
      <c r="J279" s="3"/>
      <c r="K279" s="3"/>
      <c r="L279" s="27"/>
      <c r="M279" s="28" t="str">
        <f aca="false">IF(E279="","",COUNT($E$5:E279))</f>
        <v/>
      </c>
      <c r="N279" s="28" t="str">
        <f aca="false">IF(F279="","",COUNT($F$5:F279))</f>
        <v/>
      </c>
      <c r="O279" s="28" t="str">
        <f aca="false">IF(H279="","",COUNT($H$5:H279))</f>
        <v/>
      </c>
    </row>
    <row r="280" customFormat="false" ht="15" hidden="false" customHeight="false" outlineLevel="0" collapsed="false">
      <c r="A280" s="26"/>
      <c r="B280" s="7" t="str">
        <f aca="false">IF(A280="","",INT((A280-'Tableau de bord'!$C$6)/7)+1)</f>
        <v/>
      </c>
      <c r="C280" s="3"/>
      <c r="D280" s="3"/>
      <c r="E280" s="3"/>
      <c r="F280" s="3"/>
      <c r="G280" s="3"/>
      <c r="H280" s="3"/>
      <c r="I280" s="3"/>
      <c r="J280" s="3"/>
      <c r="K280" s="3"/>
      <c r="L280" s="27"/>
      <c r="M280" s="28" t="str">
        <f aca="false">IF(E280="","",COUNT($E$5:E280))</f>
        <v/>
      </c>
      <c r="N280" s="28" t="str">
        <f aca="false">IF(F280="","",COUNT($F$5:F280))</f>
        <v/>
      </c>
      <c r="O280" s="28" t="str">
        <f aca="false">IF(H280="","",COUNT($H$5:H280))</f>
        <v/>
      </c>
    </row>
    <row r="281" customFormat="false" ht="15" hidden="false" customHeight="false" outlineLevel="0" collapsed="false">
      <c r="A281" s="26"/>
      <c r="B281" s="7" t="str">
        <f aca="false">IF(A281="","",INT((A281-'Tableau de bord'!$C$6)/7)+1)</f>
        <v/>
      </c>
      <c r="C281" s="3"/>
      <c r="D281" s="3"/>
      <c r="E281" s="3"/>
      <c r="F281" s="3"/>
      <c r="G281" s="3"/>
      <c r="H281" s="3"/>
      <c r="I281" s="3"/>
      <c r="J281" s="3"/>
      <c r="K281" s="3"/>
      <c r="L281" s="27"/>
      <c r="M281" s="28" t="str">
        <f aca="false">IF(E281="","",COUNT($E$5:E281))</f>
        <v/>
      </c>
      <c r="N281" s="28" t="str">
        <f aca="false">IF(F281="","",COUNT($F$5:F281))</f>
        <v/>
      </c>
      <c r="O281" s="28" t="str">
        <f aca="false">IF(H281="","",COUNT($H$5:H281))</f>
        <v/>
      </c>
    </row>
    <row r="282" customFormat="false" ht="15" hidden="false" customHeight="false" outlineLevel="0" collapsed="false">
      <c r="A282" s="26"/>
      <c r="B282" s="7" t="str">
        <f aca="false">IF(A282="","",INT((A282-'Tableau de bord'!$C$6)/7)+1)</f>
        <v/>
      </c>
      <c r="C282" s="3"/>
      <c r="D282" s="3"/>
      <c r="E282" s="3"/>
      <c r="F282" s="3"/>
      <c r="G282" s="3"/>
      <c r="H282" s="3"/>
      <c r="I282" s="3"/>
      <c r="J282" s="3"/>
      <c r="K282" s="3"/>
      <c r="L282" s="27"/>
      <c r="M282" s="28" t="str">
        <f aca="false">IF(E282="","",COUNT($E$5:E282))</f>
        <v/>
      </c>
      <c r="N282" s="28" t="str">
        <f aca="false">IF(F282="","",COUNT($F$5:F282))</f>
        <v/>
      </c>
      <c r="O282" s="28" t="str">
        <f aca="false">IF(H282="","",COUNT($H$5:H282))</f>
        <v/>
      </c>
    </row>
    <row r="283" customFormat="false" ht="15" hidden="false" customHeight="false" outlineLevel="0" collapsed="false">
      <c r="A283" s="26"/>
      <c r="B283" s="7" t="str">
        <f aca="false">IF(A283="","",INT((A283-'Tableau de bord'!$C$6)/7)+1)</f>
        <v/>
      </c>
      <c r="C283" s="3"/>
      <c r="D283" s="3"/>
      <c r="E283" s="3"/>
      <c r="F283" s="3"/>
      <c r="G283" s="3"/>
      <c r="H283" s="3"/>
      <c r="I283" s="3"/>
      <c r="J283" s="3"/>
      <c r="K283" s="3"/>
      <c r="L283" s="27"/>
      <c r="M283" s="28" t="str">
        <f aca="false">IF(E283="","",COUNT($E$5:E283))</f>
        <v/>
      </c>
      <c r="N283" s="28" t="str">
        <f aca="false">IF(F283="","",COUNT($F$5:F283))</f>
        <v/>
      </c>
      <c r="O283" s="28" t="str">
        <f aca="false">IF(H283="","",COUNT($H$5:H283))</f>
        <v/>
      </c>
    </row>
    <row r="284" customFormat="false" ht="15" hidden="false" customHeight="false" outlineLevel="0" collapsed="false">
      <c r="A284" s="26"/>
      <c r="B284" s="7" t="str">
        <f aca="false">IF(A284="","",INT((A284-'Tableau de bord'!$C$6)/7)+1)</f>
        <v/>
      </c>
      <c r="C284" s="3"/>
      <c r="D284" s="3"/>
      <c r="E284" s="3"/>
      <c r="F284" s="3"/>
      <c r="G284" s="3"/>
      <c r="H284" s="3"/>
      <c r="I284" s="3"/>
      <c r="J284" s="3"/>
      <c r="K284" s="3"/>
      <c r="L284" s="27"/>
      <c r="M284" s="28" t="str">
        <f aca="false">IF(E284="","",COUNT($E$5:E284))</f>
        <v/>
      </c>
      <c r="N284" s="28" t="str">
        <f aca="false">IF(F284="","",COUNT($F$5:F284))</f>
        <v/>
      </c>
      <c r="O284" s="28" t="str">
        <f aca="false">IF(H284="","",COUNT($H$5:H284))</f>
        <v/>
      </c>
    </row>
    <row r="285" customFormat="false" ht="15" hidden="false" customHeight="false" outlineLevel="0" collapsed="false">
      <c r="A285" s="26"/>
      <c r="B285" s="7" t="str">
        <f aca="false">IF(A285="","",INT((A285-'Tableau de bord'!$C$6)/7)+1)</f>
        <v/>
      </c>
      <c r="C285" s="3"/>
      <c r="D285" s="3"/>
      <c r="E285" s="3"/>
      <c r="F285" s="3"/>
      <c r="G285" s="3"/>
      <c r="H285" s="3"/>
      <c r="I285" s="3"/>
      <c r="J285" s="3"/>
      <c r="K285" s="3"/>
      <c r="L285" s="27"/>
      <c r="M285" s="28" t="str">
        <f aca="false">IF(E285="","",COUNT($E$5:E285))</f>
        <v/>
      </c>
      <c r="N285" s="28" t="str">
        <f aca="false">IF(F285="","",COUNT($F$5:F285))</f>
        <v/>
      </c>
      <c r="O285" s="28" t="str">
        <f aca="false">IF(H285="","",COUNT($H$5:H285))</f>
        <v/>
      </c>
    </row>
    <row r="286" customFormat="false" ht="15" hidden="false" customHeight="false" outlineLevel="0" collapsed="false">
      <c r="A286" s="26"/>
      <c r="B286" s="7" t="str">
        <f aca="false">IF(A286="","",INT((A286-'Tableau de bord'!$C$6)/7)+1)</f>
        <v/>
      </c>
      <c r="C286" s="3"/>
      <c r="D286" s="3"/>
      <c r="E286" s="3"/>
      <c r="F286" s="3"/>
      <c r="G286" s="3"/>
      <c r="H286" s="3"/>
      <c r="I286" s="3"/>
      <c r="J286" s="3"/>
      <c r="K286" s="3"/>
      <c r="L286" s="27"/>
      <c r="M286" s="28" t="str">
        <f aca="false">IF(E286="","",COUNT($E$5:E286))</f>
        <v/>
      </c>
      <c r="N286" s="28" t="str">
        <f aca="false">IF(F286="","",COUNT($F$5:F286))</f>
        <v/>
      </c>
      <c r="O286" s="28" t="str">
        <f aca="false">IF(H286="","",COUNT($H$5:H286))</f>
        <v/>
      </c>
    </row>
    <row r="287" customFormat="false" ht="15" hidden="false" customHeight="false" outlineLevel="0" collapsed="false">
      <c r="A287" s="26"/>
      <c r="B287" s="7" t="str">
        <f aca="false">IF(A287="","",INT((A287-'Tableau de bord'!$C$6)/7)+1)</f>
        <v/>
      </c>
      <c r="C287" s="3"/>
      <c r="D287" s="3"/>
      <c r="E287" s="3"/>
      <c r="F287" s="3"/>
      <c r="G287" s="3"/>
      <c r="H287" s="3"/>
      <c r="I287" s="3"/>
      <c r="J287" s="3"/>
      <c r="K287" s="3"/>
      <c r="L287" s="27"/>
      <c r="M287" s="28" t="str">
        <f aca="false">IF(E287="","",COUNT($E$5:E287))</f>
        <v/>
      </c>
      <c r="N287" s="28" t="str">
        <f aca="false">IF(F287="","",COUNT($F$5:F287))</f>
        <v/>
      </c>
      <c r="O287" s="28" t="str">
        <f aca="false">IF(H287="","",COUNT($H$5:H287))</f>
        <v/>
      </c>
    </row>
    <row r="288" customFormat="false" ht="15" hidden="false" customHeight="false" outlineLevel="0" collapsed="false">
      <c r="A288" s="26"/>
      <c r="B288" s="7" t="str">
        <f aca="false">IF(A288="","",INT((A288-'Tableau de bord'!$C$6)/7)+1)</f>
        <v/>
      </c>
      <c r="C288" s="3"/>
      <c r="D288" s="3"/>
      <c r="E288" s="3"/>
      <c r="F288" s="3"/>
      <c r="G288" s="3"/>
      <c r="H288" s="3"/>
      <c r="I288" s="3"/>
      <c r="J288" s="3"/>
      <c r="K288" s="3"/>
      <c r="L288" s="27"/>
      <c r="M288" s="28" t="str">
        <f aca="false">IF(E288="","",COUNT($E$5:E288))</f>
        <v/>
      </c>
      <c r="N288" s="28" t="str">
        <f aca="false">IF(F288="","",COUNT($F$5:F288))</f>
        <v/>
      </c>
      <c r="O288" s="28" t="str">
        <f aca="false">IF(H288="","",COUNT($H$5:H288))</f>
        <v/>
      </c>
    </row>
    <row r="289" customFormat="false" ht="15" hidden="false" customHeight="false" outlineLevel="0" collapsed="false">
      <c r="A289" s="26"/>
      <c r="B289" s="7" t="str">
        <f aca="false">IF(A289="","",INT((A289-'Tableau de bord'!$C$6)/7)+1)</f>
        <v/>
      </c>
      <c r="C289" s="3"/>
      <c r="D289" s="3"/>
      <c r="E289" s="3"/>
      <c r="F289" s="3"/>
      <c r="G289" s="3"/>
      <c r="H289" s="3"/>
      <c r="I289" s="3"/>
      <c r="J289" s="3"/>
      <c r="K289" s="3"/>
      <c r="L289" s="27"/>
      <c r="M289" s="28" t="str">
        <f aca="false">IF(E289="","",COUNT($E$5:E289))</f>
        <v/>
      </c>
      <c r="N289" s="28" t="str">
        <f aca="false">IF(F289="","",COUNT($F$5:F289))</f>
        <v/>
      </c>
      <c r="O289" s="28" t="str">
        <f aca="false">IF(H289="","",COUNT($H$5:H289))</f>
        <v/>
      </c>
    </row>
    <row r="290" customFormat="false" ht="15" hidden="false" customHeight="false" outlineLevel="0" collapsed="false">
      <c r="A290" s="26"/>
      <c r="B290" s="7" t="str">
        <f aca="false">IF(A290="","",INT((A290-'Tableau de bord'!$C$6)/7)+1)</f>
        <v/>
      </c>
      <c r="C290" s="3"/>
      <c r="D290" s="3"/>
      <c r="E290" s="3"/>
      <c r="F290" s="3"/>
      <c r="G290" s="3"/>
      <c r="H290" s="3"/>
      <c r="I290" s="3"/>
      <c r="J290" s="3"/>
      <c r="K290" s="3"/>
      <c r="L290" s="27"/>
      <c r="M290" s="28" t="str">
        <f aca="false">IF(E290="","",COUNT($E$5:E290))</f>
        <v/>
      </c>
      <c r="N290" s="28" t="str">
        <f aca="false">IF(F290="","",COUNT($F$5:F290))</f>
        <v/>
      </c>
      <c r="O290" s="28" t="str">
        <f aca="false">IF(H290="","",COUNT($H$5:H290))</f>
        <v/>
      </c>
    </row>
    <row r="291" customFormat="false" ht="15" hidden="false" customHeight="false" outlineLevel="0" collapsed="false">
      <c r="A291" s="26"/>
      <c r="B291" s="7" t="str">
        <f aca="false">IF(A291="","",INT((A291-'Tableau de bord'!$C$6)/7)+1)</f>
        <v/>
      </c>
      <c r="C291" s="3"/>
      <c r="D291" s="3"/>
      <c r="E291" s="3"/>
      <c r="F291" s="3"/>
      <c r="G291" s="3"/>
      <c r="H291" s="3"/>
      <c r="I291" s="3"/>
      <c r="J291" s="3"/>
      <c r="K291" s="3"/>
      <c r="L291" s="27"/>
      <c r="M291" s="28" t="str">
        <f aca="false">IF(E291="","",COUNT($E$5:E291))</f>
        <v/>
      </c>
      <c r="N291" s="28" t="str">
        <f aca="false">IF(F291="","",COUNT($F$5:F291))</f>
        <v/>
      </c>
      <c r="O291" s="28" t="str">
        <f aca="false">IF(H291="","",COUNT($H$5:H291))</f>
        <v/>
      </c>
    </row>
    <row r="292" customFormat="false" ht="15" hidden="false" customHeight="false" outlineLevel="0" collapsed="false">
      <c r="A292" s="26"/>
      <c r="B292" s="7" t="str">
        <f aca="false">IF(A292="","",INT((A292-'Tableau de bord'!$C$6)/7)+1)</f>
        <v/>
      </c>
      <c r="C292" s="3"/>
      <c r="D292" s="3"/>
      <c r="E292" s="3"/>
      <c r="F292" s="3"/>
      <c r="G292" s="3"/>
      <c r="H292" s="3"/>
      <c r="I292" s="3"/>
      <c r="J292" s="3"/>
      <c r="K292" s="3"/>
      <c r="L292" s="27"/>
      <c r="M292" s="28" t="str">
        <f aca="false">IF(E292="","",COUNT($E$5:E292))</f>
        <v/>
      </c>
      <c r="N292" s="28" t="str">
        <f aca="false">IF(F292="","",COUNT($F$5:F292))</f>
        <v/>
      </c>
      <c r="O292" s="28" t="str">
        <f aca="false">IF(H292="","",COUNT($H$5:H292))</f>
        <v/>
      </c>
    </row>
    <row r="293" customFormat="false" ht="15" hidden="false" customHeight="false" outlineLevel="0" collapsed="false">
      <c r="A293" s="26"/>
      <c r="B293" s="7" t="str">
        <f aca="false">IF(A293="","",INT((A293-'Tableau de bord'!$C$6)/7)+1)</f>
        <v/>
      </c>
      <c r="C293" s="3"/>
      <c r="D293" s="3"/>
      <c r="E293" s="3"/>
      <c r="F293" s="3"/>
      <c r="G293" s="3"/>
      <c r="H293" s="3"/>
      <c r="I293" s="3"/>
      <c r="J293" s="3"/>
      <c r="K293" s="3"/>
      <c r="L293" s="27"/>
      <c r="M293" s="28" t="str">
        <f aca="false">IF(E293="","",COUNT($E$5:E293))</f>
        <v/>
      </c>
      <c r="N293" s="28" t="str">
        <f aca="false">IF(F293="","",COUNT($F$5:F293))</f>
        <v/>
      </c>
      <c r="O293" s="28" t="str">
        <f aca="false">IF(H293="","",COUNT($H$5:H293))</f>
        <v/>
      </c>
    </row>
    <row r="294" customFormat="false" ht="15" hidden="false" customHeight="false" outlineLevel="0" collapsed="false">
      <c r="A294" s="26"/>
      <c r="B294" s="7" t="str">
        <f aca="false">IF(A294="","",INT((A294-'Tableau de bord'!$C$6)/7)+1)</f>
        <v/>
      </c>
      <c r="C294" s="3"/>
      <c r="D294" s="3"/>
      <c r="E294" s="3"/>
      <c r="F294" s="3"/>
      <c r="G294" s="3"/>
      <c r="H294" s="3"/>
      <c r="I294" s="3"/>
      <c r="J294" s="3"/>
      <c r="K294" s="3"/>
      <c r="L294" s="27"/>
      <c r="M294" s="28" t="str">
        <f aca="false">IF(E294="","",COUNT($E$5:E294))</f>
        <v/>
      </c>
      <c r="N294" s="28" t="str">
        <f aca="false">IF(F294="","",COUNT($F$5:F294))</f>
        <v/>
      </c>
      <c r="O294" s="28" t="str">
        <f aca="false">IF(H294="","",COUNT($H$5:H294))</f>
        <v/>
      </c>
    </row>
    <row r="295" customFormat="false" ht="15" hidden="false" customHeight="false" outlineLevel="0" collapsed="false">
      <c r="A295" s="26"/>
      <c r="B295" s="7" t="str">
        <f aca="false">IF(A295="","",INT((A295-'Tableau de bord'!$C$6)/7)+1)</f>
        <v/>
      </c>
      <c r="C295" s="3"/>
      <c r="D295" s="3"/>
      <c r="E295" s="3"/>
      <c r="F295" s="3"/>
      <c r="G295" s="3"/>
      <c r="H295" s="3"/>
      <c r="I295" s="3"/>
      <c r="J295" s="3"/>
      <c r="K295" s="3"/>
      <c r="L295" s="27"/>
      <c r="M295" s="28" t="str">
        <f aca="false">IF(E295="","",COUNT($E$5:E295))</f>
        <v/>
      </c>
      <c r="N295" s="28" t="str">
        <f aca="false">IF(F295="","",COUNT($F$5:F295))</f>
        <v/>
      </c>
      <c r="O295" s="28" t="str">
        <f aca="false">IF(H295="","",COUNT($H$5:H295))</f>
        <v/>
      </c>
    </row>
    <row r="296" customFormat="false" ht="15" hidden="false" customHeight="false" outlineLevel="0" collapsed="false">
      <c r="A296" s="26"/>
      <c r="B296" s="7" t="str">
        <f aca="false">IF(A296="","",INT((A296-'Tableau de bord'!$C$6)/7)+1)</f>
        <v/>
      </c>
      <c r="C296" s="3"/>
      <c r="D296" s="3"/>
      <c r="E296" s="3"/>
      <c r="F296" s="3"/>
      <c r="G296" s="3"/>
      <c r="H296" s="3"/>
      <c r="I296" s="3"/>
      <c r="J296" s="3"/>
      <c r="K296" s="3"/>
      <c r="L296" s="27"/>
      <c r="M296" s="28" t="str">
        <f aca="false">IF(E296="","",COUNT($E$5:E296))</f>
        <v/>
      </c>
      <c r="N296" s="28" t="str">
        <f aca="false">IF(F296="","",COUNT($F$5:F296))</f>
        <v/>
      </c>
      <c r="O296" s="28" t="str">
        <f aca="false">IF(H296="","",COUNT($H$5:H296))</f>
        <v/>
      </c>
    </row>
    <row r="297" customFormat="false" ht="15" hidden="false" customHeight="false" outlineLevel="0" collapsed="false">
      <c r="A297" s="26"/>
      <c r="B297" s="7" t="str">
        <f aca="false">IF(A297="","",INT((A297-'Tableau de bord'!$C$6)/7)+1)</f>
        <v/>
      </c>
      <c r="C297" s="3"/>
      <c r="D297" s="3"/>
      <c r="E297" s="3"/>
      <c r="F297" s="3"/>
      <c r="G297" s="3"/>
      <c r="H297" s="3"/>
      <c r="I297" s="3"/>
      <c r="J297" s="3"/>
      <c r="K297" s="3"/>
      <c r="L297" s="27"/>
      <c r="M297" s="28" t="str">
        <f aca="false">IF(E297="","",COUNT($E$5:E297))</f>
        <v/>
      </c>
      <c r="N297" s="28" t="str">
        <f aca="false">IF(F297="","",COUNT($F$5:F297))</f>
        <v/>
      </c>
      <c r="O297" s="28" t="str">
        <f aca="false">IF(H297="","",COUNT($H$5:H297))</f>
        <v/>
      </c>
    </row>
    <row r="298" customFormat="false" ht="15" hidden="false" customHeight="false" outlineLevel="0" collapsed="false">
      <c r="A298" s="26"/>
      <c r="B298" s="7" t="str">
        <f aca="false">IF(A298="","",INT((A298-'Tableau de bord'!$C$6)/7)+1)</f>
        <v/>
      </c>
      <c r="C298" s="3"/>
      <c r="D298" s="3"/>
      <c r="E298" s="3"/>
      <c r="F298" s="3"/>
      <c r="G298" s="3"/>
      <c r="H298" s="3"/>
      <c r="I298" s="3"/>
      <c r="J298" s="3"/>
      <c r="K298" s="3"/>
      <c r="L298" s="27"/>
      <c r="M298" s="28" t="str">
        <f aca="false">IF(E298="","",COUNT($E$5:E298))</f>
        <v/>
      </c>
      <c r="N298" s="28" t="str">
        <f aca="false">IF(F298="","",COUNT($F$5:F298))</f>
        <v/>
      </c>
      <c r="O298" s="28" t="str">
        <f aca="false">IF(H298="","",COUNT($H$5:H298))</f>
        <v/>
      </c>
    </row>
    <row r="299" customFormat="false" ht="15" hidden="false" customHeight="false" outlineLevel="0" collapsed="false">
      <c r="A299" s="26"/>
      <c r="B299" s="7" t="str">
        <f aca="false">IF(A299="","",INT((A299-'Tableau de bord'!$C$6)/7)+1)</f>
        <v/>
      </c>
      <c r="C299" s="3"/>
      <c r="D299" s="3"/>
      <c r="E299" s="3"/>
      <c r="F299" s="3"/>
      <c r="G299" s="3"/>
      <c r="H299" s="3"/>
      <c r="I299" s="3"/>
      <c r="J299" s="3"/>
      <c r="K299" s="3"/>
      <c r="L299" s="27"/>
      <c r="M299" s="28" t="str">
        <f aca="false">IF(E299="","",COUNT($E$5:E299))</f>
        <v/>
      </c>
      <c r="N299" s="28" t="str">
        <f aca="false">IF(F299="","",COUNT($F$5:F299))</f>
        <v/>
      </c>
      <c r="O299" s="28" t="str">
        <f aca="false">IF(H299="","",COUNT($H$5:H299))</f>
        <v/>
      </c>
    </row>
    <row r="300" customFormat="false" ht="15" hidden="false" customHeight="false" outlineLevel="0" collapsed="false">
      <c r="A300" s="26"/>
      <c r="B300" s="7" t="str">
        <f aca="false">IF(A300="","",INT((A300-'Tableau de bord'!$C$6)/7)+1)</f>
        <v/>
      </c>
      <c r="C300" s="3"/>
      <c r="D300" s="3"/>
      <c r="E300" s="3"/>
      <c r="F300" s="3"/>
      <c r="G300" s="3"/>
      <c r="H300" s="3"/>
      <c r="I300" s="3"/>
      <c r="J300" s="3"/>
      <c r="K300" s="3"/>
      <c r="L300" s="27"/>
      <c r="M300" s="28" t="str">
        <f aca="false">IF(E300="","",COUNT($E$5:E300))</f>
        <v/>
      </c>
      <c r="N300" s="28" t="str">
        <f aca="false">IF(F300="","",COUNT($F$5:F300))</f>
        <v/>
      </c>
      <c r="O300" s="28" t="str">
        <f aca="false">IF(H300="","",COUNT($H$5:H300))</f>
        <v/>
      </c>
    </row>
    <row r="301" customFormat="false" ht="15" hidden="false" customHeight="false" outlineLevel="0" collapsed="false">
      <c r="A301" s="26"/>
      <c r="B301" s="7" t="str">
        <f aca="false">IF(A301="","",INT((A301-'Tableau de bord'!$C$6)/7)+1)</f>
        <v/>
      </c>
      <c r="C301" s="3"/>
      <c r="D301" s="3"/>
      <c r="E301" s="3"/>
      <c r="F301" s="3"/>
      <c r="G301" s="3"/>
      <c r="H301" s="3"/>
      <c r="I301" s="3"/>
      <c r="J301" s="3"/>
      <c r="K301" s="3"/>
      <c r="L301" s="27"/>
      <c r="M301" s="28" t="str">
        <f aca="false">IF(E301="","",COUNT($E$5:E301))</f>
        <v/>
      </c>
      <c r="N301" s="28" t="str">
        <f aca="false">IF(F301="","",COUNT($F$5:F301))</f>
        <v/>
      </c>
      <c r="O301" s="28" t="str">
        <f aca="false">IF(H301="","",COUNT($H$5:H301))</f>
        <v/>
      </c>
    </row>
    <row r="302" customFormat="false" ht="15" hidden="false" customHeight="false" outlineLevel="0" collapsed="false">
      <c r="A302" s="26"/>
      <c r="B302" s="7" t="str">
        <f aca="false">IF(A302="","",INT((A302-'Tableau de bord'!$C$6)/7)+1)</f>
        <v/>
      </c>
      <c r="C302" s="3"/>
      <c r="D302" s="3"/>
      <c r="E302" s="3"/>
      <c r="F302" s="3"/>
      <c r="G302" s="3"/>
      <c r="H302" s="3"/>
      <c r="I302" s="3"/>
      <c r="J302" s="3"/>
      <c r="K302" s="3"/>
      <c r="L302" s="27"/>
      <c r="M302" s="28" t="str">
        <f aca="false">IF(E302="","",COUNT($E$5:E302))</f>
        <v/>
      </c>
      <c r="N302" s="28" t="str">
        <f aca="false">IF(F302="","",COUNT($F$5:F302))</f>
        <v/>
      </c>
      <c r="O302" s="28" t="str">
        <f aca="false">IF(H302="","",COUNT($H$5:H302))</f>
        <v/>
      </c>
    </row>
    <row r="303" customFormat="false" ht="15" hidden="false" customHeight="false" outlineLevel="0" collapsed="false">
      <c r="A303" s="26"/>
      <c r="B303" s="7" t="str">
        <f aca="false">IF(A303="","",INT((A303-'Tableau de bord'!$C$6)/7)+1)</f>
        <v/>
      </c>
      <c r="C303" s="3"/>
      <c r="D303" s="3"/>
      <c r="E303" s="3"/>
      <c r="F303" s="3"/>
      <c r="G303" s="3"/>
      <c r="H303" s="3"/>
      <c r="I303" s="3"/>
      <c r="J303" s="3"/>
      <c r="K303" s="3"/>
      <c r="L303" s="27"/>
      <c r="M303" s="28" t="str">
        <f aca="false">IF(E303="","",COUNT($E$5:E303))</f>
        <v/>
      </c>
      <c r="N303" s="28" t="str">
        <f aca="false">IF(F303="","",COUNT($F$5:F303))</f>
        <v/>
      </c>
      <c r="O303" s="28" t="str">
        <f aca="false">IF(H303="","",COUNT($H$5:H303))</f>
        <v/>
      </c>
    </row>
    <row r="304" customFormat="false" ht="15" hidden="false" customHeight="false" outlineLevel="0" collapsed="false">
      <c r="A304" s="26"/>
      <c r="B304" s="7" t="str">
        <f aca="false">IF(A304="","",INT((A304-'Tableau de bord'!$C$6)/7)+1)</f>
        <v/>
      </c>
      <c r="C304" s="3"/>
      <c r="D304" s="3"/>
      <c r="E304" s="3"/>
      <c r="F304" s="3"/>
      <c r="G304" s="3"/>
      <c r="H304" s="3"/>
      <c r="I304" s="3"/>
      <c r="J304" s="3"/>
      <c r="K304" s="3"/>
      <c r="L304" s="27"/>
      <c r="M304" s="28" t="str">
        <f aca="false">IF(E304="","",COUNT($E$5:E304))</f>
        <v/>
      </c>
      <c r="N304" s="28" t="str">
        <f aca="false">IF(F304="","",COUNT($F$5:F304))</f>
        <v/>
      </c>
      <c r="O304" s="28" t="str">
        <f aca="false">IF(H304="","",COUNT($H$5:H304))</f>
        <v/>
      </c>
    </row>
  </sheetData>
  <dataValidations count="8">
    <dataValidation allowBlank="true" error="Choisis A, B, C, Maison ou Cours coach" errorStyle="stop" errorTitle="Type de séance" operator="between" showDropDown="false" showErrorMessage="false" showInputMessage="false" sqref="C5:C304" type="list">
      <formula1>"A,B,C,Maison,Cours coach"</formula1>
      <formula2>0</formula2>
    </dataValidation>
    <dataValidation allowBlank="true" error="Nombre entier entre 0 et 20" errorStyle="stop" errorTitle="Valeur invalide" operator="between" showDropDown="false" showErrorMessage="false" showInputMessage="false" sqref="E5:E304" type="whole">
      <formula1>0</formula1>
      <formula2>20</formula2>
    </dataValidation>
    <dataValidation allowBlank="true" error="Nombre entier entre 0 et 10" errorStyle="stop" errorTitle="Valeur invalide" operator="between" showDropDown="false" showErrorMessage="false" showInputMessage="false" sqref="F5:F304 I5:I304" type="whole">
      <formula1>0</formula1>
      <formula2>10</formula2>
    </dataValidation>
    <dataValidation allowBlank="true" error="Nombre entier entre 0 et 9" errorStyle="stop" errorTitle="Valeur invalide" operator="between" showDropDown="false" showErrorMessage="false" showInputMessage="false" sqref="G5:G304" type="whole">
      <formula1>0</formula1>
      <formula2>9</formula2>
    </dataValidation>
    <dataValidation allowBlank="true" error="Nombre entier entre 9 et 90" errorStyle="stop" errorTitle="Valeur invalide" operator="between" showDropDown="false" showErrorMessage="false" showInputMessage="false" sqref="H5:H304" type="whole">
      <formula1>9</formula1>
      <formula2>90</formula2>
    </dataValidation>
    <dataValidation allowBlank="true" error="Nombre entier entre 0 et 15" errorStyle="stop" errorTitle="Valeur invalide" operator="between" showDropDown="false" showErrorMessage="false" showInputMessage="false" sqref="J5:J304" type="whole">
      <formula1>0</formula1>
      <formula2>15</formula2>
    </dataValidation>
    <dataValidation allowBlank="true" error="Nombre entier entre 1 et 5" errorStyle="stop" errorTitle="Valeur invalide" operator="between" showDropDown="false" showErrorMessage="false" showInputMessage="false" sqref="K5:K304" type="whole">
      <formula1>1</formula1>
      <formula2>5</formula2>
    </dataValidation>
    <dataValidation allowBlank="true" error="Nombre entier entre 0 et 600" errorStyle="stop" errorTitle="Valeur invalide" operator="between" showDropDown="false" showErrorMessage="false" showInputMessage="false" sqref="D5:D304" type="whole">
      <formula1>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48"/>
    <col collapsed="false" customWidth="true" hidden="false" outlineLevel="0" max="14" min="14" style="0" width="8"/>
  </cols>
  <sheetData>
    <row r="1" customFormat="false" ht="18.55" hidden="false" customHeight="false" outlineLevel="0" collapsed="false">
      <c r="A1" s="1" t="s">
        <v>75</v>
      </c>
    </row>
    <row r="2" customFormat="false" ht="15" hidden="false" customHeight="false" outlineLevel="0" collapsed="false">
      <c r="A2" s="5" t="s">
        <v>76</v>
      </c>
    </row>
    <row r="3" customFormat="false" ht="15" hidden="false" customHeight="false" outlineLevel="0" collapsed="false">
      <c r="N3" s="25" t="s">
        <v>77</v>
      </c>
    </row>
    <row r="4" customFormat="false" ht="31.5" hidden="false" customHeight="true" outlineLevel="0" collapsed="false">
      <c r="A4" s="15" t="s">
        <v>56</v>
      </c>
      <c r="B4" s="15" t="s">
        <v>78</v>
      </c>
      <c r="C4" s="15" t="s">
        <v>79</v>
      </c>
      <c r="D4" s="15" t="s">
        <v>80</v>
      </c>
      <c r="E4" s="15" t="s">
        <v>81</v>
      </c>
      <c r="F4" s="15" t="s">
        <v>82</v>
      </c>
      <c r="G4" s="15" t="s">
        <v>83</v>
      </c>
      <c r="H4" s="15" t="s">
        <v>84</v>
      </c>
      <c r="I4" s="15" t="s">
        <v>85</v>
      </c>
      <c r="J4" s="15" t="s">
        <v>86</v>
      </c>
      <c r="K4" s="15" t="s">
        <v>87</v>
      </c>
      <c r="L4" s="15" t="s">
        <v>88</v>
      </c>
      <c r="M4" s="15" t="s">
        <v>89</v>
      </c>
      <c r="N4" s="15" t="s">
        <v>90</v>
      </c>
    </row>
    <row r="5" customFormat="false" ht="23.85" hidden="false" customHeight="false" outlineLevel="0" collapsed="false">
      <c r="A5" s="26" t="n">
        <v>46313</v>
      </c>
      <c r="B5" s="3" t="s">
        <v>91</v>
      </c>
      <c r="C5" s="3" t="s">
        <v>92</v>
      </c>
      <c r="D5" s="3" t="n">
        <v>9</v>
      </c>
      <c r="E5" s="3" t="n">
        <v>36</v>
      </c>
      <c r="F5" s="3" t="n">
        <v>58</v>
      </c>
      <c r="G5" s="29" t="n">
        <f aca="false">IF(OR(E5="",F5=""),"",F5-E5)</f>
        <v>22</v>
      </c>
      <c r="H5" s="3" t="n">
        <v>21</v>
      </c>
      <c r="I5" s="3" t="n">
        <v>2</v>
      </c>
      <c r="J5" s="3" t="n">
        <v>1</v>
      </c>
      <c r="K5" s="3"/>
      <c r="L5" s="3" t="s">
        <v>93</v>
      </c>
      <c r="M5" s="27" t="s">
        <v>94</v>
      </c>
      <c r="N5" s="28" t="n">
        <f aca="false">IF(AND(F5&lt;&gt;"",C5="Fer 9 + putter",D5=9),COUNTIFS($C$5:C5,"Fer 9 + putter",$D$5:D5,9,$F$5:F5,"&lt;&gt;"),"")</f>
        <v>1</v>
      </c>
    </row>
    <row r="6" customFormat="false" ht="15" hidden="false" customHeight="false" outlineLevel="0" collapsed="false">
      <c r="A6" s="26"/>
      <c r="B6" s="3"/>
      <c r="C6" s="3"/>
      <c r="D6" s="3"/>
      <c r="E6" s="3"/>
      <c r="F6" s="3"/>
      <c r="G6" s="29" t="str">
        <f aca="false">IF(OR(E6="",F6=""),"",F6-E6)</f>
        <v/>
      </c>
      <c r="H6" s="3"/>
      <c r="I6" s="3"/>
      <c r="J6" s="3"/>
      <c r="K6" s="3"/>
      <c r="L6" s="3"/>
      <c r="M6" s="27"/>
      <c r="N6" s="28" t="str">
        <f aca="false">IF(AND(F6&lt;&gt;"",C6="Fer 9 + putter",D6=9),COUNTIFS($C$5:C6,"Fer 9 + putter",$D$5:D6,9,$F$5:F6,"&lt;&gt;"),"")</f>
        <v/>
      </c>
    </row>
    <row r="7" customFormat="false" ht="15" hidden="false" customHeight="false" outlineLevel="0" collapsed="false">
      <c r="A7" s="26"/>
      <c r="B7" s="3"/>
      <c r="C7" s="3"/>
      <c r="D7" s="3"/>
      <c r="E7" s="3"/>
      <c r="F7" s="3"/>
      <c r="G7" s="29" t="str">
        <f aca="false">IF(OR(E7="",F7=""),"",F7-E7)</f>
        <v/>
      </c>
      <c r="H7" s="3"/>
      <c r="I7" s="3"/>
      <c r="J7" s="3"/>
      <c r="K7" s="3"/>
      <c r="L7" s="3"/>
      <c r="M7" s="27"/>
      <c r="N7" s="28" t="str">
        <f aca="false">IF(AND(F7&lt;&gt;"",C7="Fer 9 + putter",D7=9),COUNTIFS($C$5:C7,"Fer 9 + putter",$D$5:D7,9,$F$5:F7,"&lt;&gt;"),"")</f>
        <v/>
      </c>
    </row>
    <row r="8" customFormat="false" ht="15" hidden="false" customHeight="false" outlineLevel="0" collapsed="false">
      <c r="A8" s="26"/>
      <c r="B8" s="3"/>
      <c r="C8" s="3"/>
      <c r="D8" s="3"/>
      <c r="E8" s="3"/>
      <c r="F8" s="3"/>
      <c r="G8" s="29" t="str">
        <f aca="false">IF(OR(E8="",F8=""),"",F8-E8)</f>
        <v/>
      </c>
      <c r="H8" s="3"/>
      <c r="I8" s="3"/>
      <c r="J8" s="3"/>
      <c r="K8" s="3"/>
      <c r="L8" s="3"/>
      <c r="M8" s="27"/>
      <c r="N8" s="28" t="str">
        <f aca="false">IF(AND(F8&lt;&gt;"",C8="Fer 9 + putter",D8=9),COUNTIFS($C$5:C8,"Fer 9 + putter",$D$5:D8,9,$F$5:F8,"&lt;&gt;"),"")</f>
        <v/>
      </c>
    </row>
    <row r="9" customFormat="false" ht="15" hidden="false" customHeight="false" outlineLevel="0" collapsed="false">
      <c r="A9" s="26"/>
      <c r="B9" s="3"/>
      <c r="C9" s="3"/>
      <c r="D9" s="3"/>
      <c r="E9" s="3"/>
      <c r="F9" s="3"/>
      <c r="G9" s="29" t="str">
        <f aca="false">IF(OR(E9="",F9=""),"",F9-E9)</f>
        <v/>
      </c>
      <c r="H9" s="3"/>
      <c r="I9" s="3"/>
      <c r="J9" s="3"/>
      <c r="K9" s="3"/>
      <c r="L9" s="3"/>
      <c r="M9" s="27"/>
      <c r="N9" s="28" t="str">
        <f aca="false">IF(AND(F9&lt;&gt;"",C9="Fer 9 + putter",D9=9),COUNTIFS($C$5:C9,"Fer 9 + putter",$D$5:D9,9,$F$5:F9,"&lt;&gt;"),"")</f>
        <v/>
      </c>
    </row>
    <row r="10" customFormat="false" ht="15" hidden="false" customHeight="false" outlineLevel="0" collapsed="false">
      <c r="A10" s="26"/>
      <c r="B10" s="3"/>
      <c r="C10" s="3"/>
      <c r="D10" s="3"/>
      <c r="E10" s="3"/>
      <c r="F10" s="3"/>
      <c r="G10" s="29" t="str">
        <f aca="false">IF(OR(E10="",F10=""),"",F10-E10)</f>
        <v/>
      </c>
      <c r="H10" s="3"/>
      <c r="I10" s="3"/>
      <c r="J10" s="3"/>
      <c r="K10" s="3"/>
      <c r="L10" s="3"/>
      <c r="M10" s="27"/>
      <c r="N10" s="28" t="str">
        <f aca="false">IF(AND(F10&lt;&gt;"",C10="Fer 9 + putter",D10=9),COUNTIFS($C$5:C10,"Fer 9 + putter",$D$5:D10,9,$F$5:F10,"&lt;&gt;"),"")</f>
        <v/>
      </c>
    </row>
    <row r="11" customFormat="false" ht="15" hidden="false" customHeight="false" outlineLevel="0" collapsed="false">
      <c r="A11" s="26"/>
      <c r="B11" s="3"/>
      <c r="C11" s="3"/>
      <c r="D11" s="3"/>
      <c r="E11" s="3"/>
      <c r="F11" s="3"/>
      <c r="G11" s="29" t="str">
        <f aca="false">IF(OR(E11="",F11=""),"",F11-E11)</f>
        <v/>
      </c>
      <c r="H11" s="3"/>
      <c r="I11" s="3"/>
      <c r="J11" s="3"/>
      <c r="K11" s="3"/>
      <c r="L11" s="3"/>
      <c r="M11" s="27"/>
      <c r="N11" s="28" t="str">
        <f aca="false">IF(AND(F11&lt;&gt;"",C11="Fer 9 + putter",D11=9),COUNTIFS($C$5:C11,"Fer 9 + putter",$D$5:D11,9,$F$5:F11,"&lt;&gt;"),"")</f>
        <v/>
      </c>
    </row>
    <row r="12" customFormat="false" ht="15" hidden="false" customHeight="false" outlineLevel="0" collapsed="false">
      <c r="A12" s="26"/>
      <c r="B12" s="3"/>
      <c r="C12" s="3"/>
      <c r="D12" s="3"/>
      <c r="E12" s="3"/>
      <c r="F12" s="3"/>
      <c r="G12" s="29" t="str">
        <f aca="false">IF(OR(E12="",F12=""),"",F12-E12)</f>
        <v/>
      </c>
      <c r="H12" s="3"/>
      <c r="I12" s="3"/>
      <c r="J12" s="3"/>
      <c r="K12" s="3"/>
      <c r="L12" s="3"/>
      <c r="M12" s="27"/>
      <c r="N12" s="28" t="str">
        <f aca="false">IF(AND(F12&lt;&gt;"",C12="Fer 9 + putter",D12=9),COUNTIFS($C$5:C12,"Fer 9 + putter",$D$5:D12,9,$F$5:F12,"&lt;&gt;"),"")</f>
        <v/>
      </c>
    </row>
    <row r="13" customFormat="false" ht="15" hidden="false" customHeight="false" outlineLevel="0" collapsed="false">
      <c r="A13" s="26"/>
      <c r="B13" s="3"/>
      <c r="C13" s="3"/>
      <c r="D13" s="3"/>
      <c r="E13" s="3"/>
      <c r="F13" s="3"/>
      <c r="G13" s="29" t="str">
        <f aca="false">IF(OR(E13="",F13=""),"",F13-E13)</f>
        <v/>
      </c>
      <c r="H13" s="3"/>
      <c r="I13" s="3"/>
      <c r="J13" s="3"/>
      <c r="K13" s="3"/>
      <c r="L13" s="3"/>
      <c r="M13" s="27"/>
      <c r="N13" s="28" t="str">
        <f aca="false">IF(AND(F13&lt;&gt;"",C13="Fer 9 + putter",D13=9),COUNTIFS($C$5:C13,"Fer 9 + putter",$D$5:D13,9,$F$5:F13,"&lt;&gt;"),"")</f>
        <v/>
      </c>
    </row>
    <row r="14" customFormat="false" ht="15" hidden="false" customHeight="false" outlineLevel="0" collapsed="false">
      <c r="A14" s="26"/>
      <c r="B14" s="3"/>
      <c r="C14" s="3"/>
      <c r="D14" s="3"/>
      <c r="E14" s="3"/>
      <c r="F14" s="3"/>
      <c r="G14" s="29" t="str">
        <f aca="false">IF(OR(E14="",F14=""),"",F14-E14)</f>
        <v/>
      </c>
      <c r="H14" s="3"/>
      <c r="I14" s="3"/>
      <c r="J14" s="3"/>
      <c r="K14" s="3"/>
      <c r="L14" s="3"/>
      <c r="M14" s="27"/>
      <c r="N14" s="28" t="str">
        <f aca="false">IF(AND(F14&lt;&gt;"",C14="Fer 9 + putter",D14=9),COUNTIFS($C$5:C14,"Fer 9 + putter",$D$5:D14,9,$F$5:F14,"&lt;&gt;"),"")</f>
        <v/>
      </c>
    </row>
    <row r="15" customFormat="false" ht="15" hidden="false" customHeight="false" outlineLevel="0" collapsed="false">
      <c r="A15" s="26"/>
      <c r="B15" s="3"/>
      <c r="C15" s="3"/>
      <c r="D15" s="3"/>
      <c r="E15" s="3"/>
      <c r="F15" s="3"/>
      <c r="G15" s="29" t="str">
        <f aca="false">IF(OR(E15="",F15=""),"",F15-E15)</f>
        <v/>
      </c>
      <c r="H15" s="3"/>
      <c r="I15" s="3"/>
      <c r="J15" s="3"/>
      <c r="K15" s="3"/>
      <c r="L15" s="3"/>
      <c r="M15" s="27"/>
      <c r="N15" s="28" t="str">
        <f aca="false">IF(AND(F15&lt;&gt;"",C15="Fer 9 + putter",D15=9),COUNTIFS($C$5:C15,"Fer 9 + putter",$D$5:D15,9,$F$5:F15,"&lt;&gt;"),"")</f>
        <v/>
      </c>
    </row>
    <row r="16" customFormat="false" ht="15" hidden="false" customHeight="false" outlineLevel="0" collapsed="false">
      <c r="A16" s="26"/>
      <c r="B16" s="3"/>
      <c r="C16" s="3"/>
      <c r="D16" s="3"/>
      <c r="E16" s="3"/>
      <c r="F16" s="3"/>
      <c r="G16" s="29" t="str">
        <f aca="false">IF(OR(E16="",F16=""),"",F16-E16)</f>
        <v/>
      </c>
      <c r="H16" s="3"/>
      <c r="I16" s="3"/>
      <c r="J16" s="3"/>
      <c r="K16" s="3"/>
      <c r="L16" s="3"/>
      <c r="M16" s="27"/>
      <c r="N16" s="28" t="str">
        <f aca="false">IF(AND(F16&lt;&gt;"",C16="Fer 9 + putter",D16=9),COUNTIFS($C$5:C16,"Fer 9 + putter",$D$5:D16,9,$F$5:F16,"&lt;&gt;"),"")</f>
        <v/>
      </c>
    </row>
    <row r="17" customFormat="false" ht="15" hidden="false" customHeight="false" outlineLevel="0" collapsed="false">
      <c r="A17" s="26"/>
      <c r="B17" s="3"/>
      <c r="C17" s="3"/>
      <c r="D17" s="3"/>
      <c r="E17" s="3"/>
      <c r="F17" s="3"/>
      <c r="G17" s="29" t="str">
        <f aca="false">IF(OR(E17="",F17=""),"",F17-E17)</f>
        <v/>
      </c>
      <c r="H17" s="3"/>
      <c r="I17" s="3"/>
      <c r="J17" s="3"/>
      <c r="K17" s="3"/>
      <c r="L17" s="3"/>
      <c r="M17" s="27"/>
      <c r="N17" s="28" t="str">
        <f aca="false">IF(AND(F17&lt;&gt;"",C17="Fer 9 + putter",D17=9),COUNTIFS($C$5:C17,"Fer 9 + putter",$D$5:D17,9,$F$5:F17,"&lt;&gt;"),"")</f>
        <v/>
      </c>
    </row>
    <row r="18" customFormat="false" ht="15" hidden="false" customHeight="false" outlineLevel="0" collapsed="false">
      <c r="A18" s="26"/>
      <c r="B18" s="3"/>
      <c r="C18" s="3"/>
      <c r="D18" s="3"/>
      <c r="E18" s="3"/>
      <c r="F18" s="3"/>
      <c r="G18" s="29" t="str">
        <f aca="false">IF(OR(E18="",F18=""),"",F18-E18)</f>
        <v/>
      </c>
      <c r="H18" s="3"/>
      <c r="I18" s="3"/>
      <c r="J18" s="3"/>
      <c r="K18" s="3"/>
      <c r="L18" s="3"/>
      <c r="M18" s="27"/>
      <c r="N18" s="28" t="str">
        <f aca="false">IF(AND(F18&lt;&gt;"",C18="Fer 9 + putter",D18=9),COUNTIFS($C$5:C18,"Fer 9 + putter",$D$5:D18,9,$F$5:F18,"&lt;&gt;"),"")</f>
        <v/>
      </c>
    </row>
    <row r="19" customFormat="false" ht="15" hidden="false" customHeight="false" outlineLevel="0" collapsed="false">
      <c r="A19" s="26"/>
      <c r="B19" s="3"/>
      <c r="C19" s="3"/>
      <c r="D19" s="3"/>
      <c r="E19" s="3"/>
      <c r="F19" s="3"/>
      <c r="G19" s="29" t="str">
        <f aca="false">IF(OR(E19="",F19=""),"",F19-E19)</f>
        <v/>
      </c>
      <c r="H19" s="3"/>
      <c r="I19" s="3"/>
      <c r="J19" s="3"/>
      <c r="K19" s="3"/>
      <c r="L19" s="3"/>
      <c r="M19" s="27"/>
      <c r="N19" s="28" t="str">
        <f aca="false">IF(AND(F19&lt;&gt;"",C19="Fer 9 + putter",D19=9),COUNTIFS($C$5:C19,"Fer 9 + putter",$D$5:D19,9,$F$5:F19,"&lt;&gt;"),"")</f>
        <v/>
      </c>
    </row>
    <row r="20" customFormat="false" ht="15" hidden="false" customHeight="false" outlineLevel="0" collapsed="false">
      <c r="A20" s="26"/>
      <c r="B20" s="3"/>
      <c r="C20" s="3"/>
      <c r="D20" s="3"/>
      <c r="E20" s="3"/>
      <c r="F20" s="3"/>
      <c r="G20" s="29" t="str">
        <f aca="false">IF(OR(E20="",F20=""),"",F20-E20)</f>
        <v/>
      </c>
      <c r="H20" s="3"/>
      <c r="I20" s="3"/>
      <c r="J20" s="3"/>
      <c r="K20" s="3"/>
      <c r="L20" s="3"/>
      <c r="M20" s="27"/>
      <c r="N20" s="28" t="str">
        <f aca="false">IF(AND(F20&lt;&gt;"",C20="Fer 9 + putter",D20=9),COUNTIFS($C$5:C20,"Fer 9 + putter",$D$5:D20,9,$F$5:F20,"&lt;&gt;"),"")</f>
        <v/>
      </c>
    </row>
    <row r="21" customFormat="false" ht="15" hidden="false" customHeight="false" outlineLevel="0" collapsed="false">
      <c r="A21" s="26"/>
      <c r="B21" s="3"/>
      <c r="C21" s="3"/>
      <c r="D21" s="3"/>
      <c r="E21" s="3"/>
      <c r="F21" s="3"/>
      <c r="G21" s="29" t="str">
        <f aca="false">IF(OR(E21="",F21=""),"",F21-E21)</f>
        <v/>
      </c>
      <c r="H21" s="3"/>
      <c r="I21" s="3"/>
      <c r="J21" s="3"/>
      <c r="K21" s="3"/>
      <c r="L21" s="3"/>
      <c r="M21" s="27"/>
      <c r="N21" s="28" t="str">
        <f aca="false">IF(AND(F21&lt;&gt;"",C21="Fer 9 + putter",D21=9),COUNTIFS($C$5:C21,"Fer 9 + putter",$D$5:D21,9,$F$5:F21,"&lt;&gt;"),"")</f>
        <v/>
      </c>
    </row>
    <row r="22" customFormat="false" ht="15" hidden="false" customHeight="false" outlineLevel="0" collapsed="false">
      <c r="A22" s="26"/>
      <c r="B22" s="3"/>
      <c r="C22" s="3"/>
      <c r="D22" s="3"/>
      <c r="E22" s="3"/>
      <c r="F22" s="3"/>
      <c r="G22" s="29" t="str">
        <f aca="false">IF(OR(E22="",F22=""),"",F22-E22)</f>
        <v/>
      </c>
      <c r="H22" s="3"/>
      <c r="I22" s="3"/>
      <c r="J22" s="3"/>
      <c r="K22" s="3"/>
      <c r="L22" s="3"/>
      <c r="M22" s="27"/>
      <c r="N22" s="28" t="str">
        <f aca="false">IF(AND(F22&lt;&gt;"",C22="Fer 9 + putter",D22=9),COUNTIFS($C$5:C22,"Fer 9 + putter",$D$5:D22,9,$F$5:F22,"&lt;&gt;"),"")</f>
        <v/>
      </c>
    </row>
    <row r="23" customFormat="false" ht="15" hidden="false" customHeight="false" outlineLevel="0" collapsed="false">
      <c r="A23" s="26"/>
      <c r="B23" s="3"/>
      <c r="C23" s="3"/>
      <c r="D23" s="3"/>
      <c r="E23" s="3"/>
      <c r="F23" s="3"/>
      <c r="G23" s="29" t="str">
        <f aca="false">IF(OR(E23="",F23=""),"",F23-E23)</f>
        <v/>
      </c>
      <c r="H23" s="3"/>
      <c r="I23" s="3"/>
      <c r="J23" s="3"/>
      <c r="K23" s="3"/>
      <c r="L23" s="3"/>
      <c r="M23" s="27"/>
      <c r="N23" s="28" t="str">
        <f aca="false">IF(AND(F23&lt;&gt;"",C23="Fer 9 + putter",D23=9),COUNTIFS($C$5:C23,"Fer 9 + putter",$D$5:D23,9,$F$5:F23,"&lt;&gt;"),"")</f>
        <v/>
      </c>
    </row>
    <row r="24" customFormat="false" ht="15" hidden="false" customHeight="false" outlineLevel="0" collapsed="false">
      <c r="A24" s="26"/>
      <c r="B24" s="3"/>
      <c r="C24" s="3"/>
      <c r="D24" s="3"/>
      <c r="E24" s="3"/>
      <c r="F24" s="3"/>
      <c r="G24" s="29" t="str">
        <f aca="false">IF(OR(E24="",F24=""),"",F24-E24)</f>
        <v/>
      </c>
      <c r="H24" s="3"/>
      <c r="I24" s="3"/>
      <c r="J24" s="3"/>
      <c r="K24" s="3"/>
      <c r="L24" s="3"/>
      <c r="M24" s="27"/>
      <c r="N24" s="28" t="str">
        <f aca="false">IF(AND(F24&lt;&gt;"",C24="Fer 9 + putter",D24=9),COUNTIFS($C$5:C24,"Fer 9 + putter",$D$5:D24,9,$F$5:F24,"&lt;&gt;"),"")</f>
        <v/>
      </c>
    </row>
    <row r="25" customFormat="false" ht="15" hidden="false" customHeight="false" outlineLevel="0" collapsed="false">
      <c r="A25" s="26"/>
      <c r="B25" s="3"/>
      <c r="C25" s="3"/>
      <c r="D25" s="3"/>
      <c r="E25" s="3"/>
      <c r="F25" s="3"/>
      <c r="G25" s="29" t="str">
        <f aca="false">IF(OR(E25="",F25=""),"",F25-E25)</f>
        <v/>
      </c>
      <c r="H25" s="3"/>
      <c r="I25" s="3"/>
      <c r="J25" s="3"/>
      <c r="K25" s="3"/>
      <c r="L25" s="3"/>
      <c r="M25" s="27"/>
      <c r="N25" s="28" t="str">
        <f aca="false">IF(AND(F25&lt;&gt;"",C25="Fer 9 + putter",D25=9),COUNTIFS($C$5:C25,"Fer 9 + putter",$D$5:D25,9,$F$5:F25,"&lt;&gt;"),"")</f>
        <v/>
      </c>
    </row>
    <row r="26" customFormat="false" ht="15" hidden="false" customHeight="false" outlineLevel="0" collapsed="false">
      <c r="A26" s="26"/>
      <c r="B26" s="3"/>
      <c r="C26" s="3"/>
      <c r="D26" s="3"/>
      <c r="E26" s="3"/>
      <c r="F26" s="3"/>
      <c r="G26" s="29" t="str">
        <f aca="false">IF(OR(E26="",F26=""),"",F26-E26)</f>
        <v/>
      </c>
      <c r="H26" s="3"/>
      <c r="I26" s="3"/>
      <c r="J26" s="3"/>
      <c r="K26" s="3"/>
      <c r="L26" s="3"/>
      <c r="M26" s="27"/>
      <c r="N26" s="28" t="str">
        <f aca="false">IF(AND(F26&lt;&gt;"",C26="Fer 9 + putter",D26=9),COUNTIFS($C$5:C26,"Fer 9 + putter",$D$5:D26,9,$F$5:F26,"&lt;&gt;"),"")</f>
        <v/>
      </c>
    </row>
    <row r="27" customFormat="false" ht="15" hidden="false" customHeight="false" outlineLevel="0" collapsed="false">
      <c r="A27" s="26"/>
      <c r="B27" s="3"/>
      <c r="C27" s="3"/>
      <c r="D27" s="3"/>
      <c r="E27" s="3"/>
      <c r="F27" s="3"/>
      <c r="G27" s="29" t="str">
        <f aca="false">IF(OR(E27="",F27=""),"",F27-E27)</f>
        <v/>
      </c>
      <c r="H27" s="3"/>
      <c r="I27" s="3"/>
      <c r="J27" s="3"/>
      <c r="K27" s="3"/>
      <c r="L27" s="3"/>
      <c r="M27" s="27"/>
      <c r="N27" s="28" t="str">
        <f aca="false">IF(AND(F27&lt;&gt;"",C27="Fer 9 + putter",D27=9),COUNTIFS($C$5:C27,"Fer 9 + putter",$D$5:D27,9,$F$5:F27,"&lt;&gt;"),"")</f>
        <v/>
      </c>
    </row>
    <row r="28" customFormat="false" ht="15" hidden="false" customHeight="false" outlineLevel="0" collapsed="false">
      <c r="A28" s="26"/>
      <c r="B28" s="3"/>
      <c r="C28" s="3"/>
      <c r="D28" s="3"/>
      <c r="E28" s="3"/>
      <c r="F28" s="3"/>
      <c r="G28" s="29" t="str">
        <f aca="false">IF(OR(E28="",F28=""),"",F28-E28)</f>
        <v/>
      </c>
      <c r="H28" s="3"/>
      <c r="I28" s="3"/>
      <c r="J28" s="3"/>
      <c r="K28" s="3"/>
      <c r="L28" s="3"/>
      <c r="M28" s="27"/>
      <c r="N28" s="28" t="str">
        <f aca="false">IF(AND(F28&lt;&gt;"",C28="Fer 9 + putter",D28=9),COUNTIFS($C$5:C28,"Fer 9 + putter",$D$5:D28,9,$F$5:F28,"&lt;&gt;"),"")</f>
        <v/>
      </c>
    </row>
    <row r="29" customFormat="false" ht="15" hidden="false" customHeight="false" outlineLevel="0" collapsed="false">
      <c r="A29" s="26"/>
      <c r="B29" s="3"/>
      <c r="C29" s="3"/>
      <c r="D29" s="3"/>
      <c r="E29" s="3"/>
      <c r="F29" s="3"/>
      <c r="G29" s="29" t="str">
        <f aca="false">IF(OR(E29="",F29=""),"",F29-E29)</f>
        <v/>
      </c>
      <c r="H29" s="3"/>
      <c r="I29" s="3"/>
      <c r="J29" s="3"/>
      <c r="K29" s="3"/>
      <c r="L29" s="3"/>
      <c r="M29" s="27"/>
      <c r="N29" s="28" t="str">
        <f aca="false">IF(AND(F29&lt;&gt;"",C29="Fer 9 + putter",D29=9),COUNTIFS($C$5:C29,"Fer 9 + putter",$D$5:D29,9,$F$5:F29,"&lt;&gt;"),"")</f>
        <v/>
      </c>
    </row>
    <row r="30" customFormat="false" ht="15" hidden="false" customHeight="false" outlineLevel="0" collapsed="false">
      <c r="A30" s="26"/>
      <c r="B30" s="3"/>
      <c r="C30" s="3"/>
      <c r="D30" s="3"/>
      <c r="E30" s="3"/>
      <c r="F30" s="3"/>
      <c r="G30" s="29" t="str">
        <f aca="false">IF(OR(E30="",F30=""),"",F30-E30)</f>
        <v/>
      </c>
      <c r="H30" s="3"/>
      <c r="I30" s="3"/>
      <c r="J30" s="3"/>
      <c r="K30" s="3"/>
      <c r="L30" s="3"/>
      <c r="M30" s="27"/>
      <c r="N30" s="28" t="str">
        <f aca="false">IF(AND(F30&lt;&gt;"",C30="Fer 9 + putter",D30=9),COUNTIFS($C$5:C30,"Fer 9 + putter",$D$5:D30,9,$F$5:F30,"&lt;&gt;"),"")</f>
        <v/>
      </c>
    </row>
    <row r="31" customFormat="false" ht="15" hidden="false" customHeight="false" outlineLevel="0" collapsed="false">
      <c r="A31" s="26"/>
      <c r="B31" s="3"/>
      <c r="C31" s="3"/>
      <c r="D31" s="3"/>
      <c r="E31" s="3"/>
      <c r="F31" s="3"/>
      <c r="G31" s="29" t="str">
        <f aca="false">IF(OR(E31="",F31=""),"",F31-E31)</f>
        <v/>
      </c>
      <c r="H31" s="3"/>
      <c r="I31" s="3"/>
      <c r="J31" s="3"/>
      <c r="K31" s="3"/>
      <c r="L31" s="3"/>
      <c r="M31" s="27"/>
      <c r="N31" s="28" t="str">
        <f aca="false">IF(AND(F31&lt;&gt;"",C31="Fer 9 + putter",D31=9),COUNTIFS($C$5:C31,"Fer 9 + putter",$D$5:D31,9,$F$5:F31,"&lt;&gt;"),"")</f>
        <v/>
      </c>
    </row>
    <row r="32" customFormat="false" ht="15" hidden="false" customHeight="false" outlineLevel="0" collapsed="false">
      <c r="A32" s="26"/>
      <c r="B32" s="3"/>
      <c r="C32" s="3"/>
      <c r="D32" s="3"/>
      <c r="E32" s="3"/>
      <c r="F32" s="3"/>
      <c r="G32" s="29" t="str">
        <f aca="false">IF(OR(E32="",F32=""),"",F32-E32)</f>
        <v/>
      </c>
      <c r="H32" s="3"/>
      <c r="I32" s="3"/>
      <c r="J32" s="3"/>
      <c r="K32" s="3"/>
      <c r="L32" s="3"/>
      <c r="M32" s="27"/>
      <c r="N32" s="28" t="str">
        <f aca="false">IF(AND(F32&lt;&gt;"",C32="Fer 9 + putter",D32=9),COUNTIFS($C$5:C32,"Fer 9 + putter",$D$5:D32,9,$F$5:F32,"&lt;&gt;"),"")</f>
        <v/>
      </c>
    </row>
    <row r="33" customFormat="false" ht="15" hidden="false" customHeight="false" outlineLevel="0" collapsed="false">
      <c r="A33" s="26"/>
      <c r="B33" s="3"/>
      <c r="C33" s="3"/>
      <c r="D33" s="3"/>
      <c r="E33" s="3"/>
      <c r="F33" s="3"/>
      <c r="G33" s="29" t="str">
        <f aca="false">IF(OR(E33="",F33=""),"",F33-E33)</f>
        <v/>
      </c>
      <c r="H33" s="3"/>
      <c r="I33" s="3"/>
      <c r="J33" s="3"/>
      <c r="K33" s="3"/>
      <c r="L33" s="3"/>
      <c r="M33" s="27"/>
      <c r="N33" s="28" t="str">
        <f aca="false">IF(AND(F33&lt;&gt;"",C33="Fer 9 + putter",D33=9),COUNTIFS($C$5:C33,"Fer 9 + putter",$D$5:D33,9,$F$5:F33,"&lt;&gt;"),"")</f>
        <v/>
      </c>
    </row>
    <row r="34" customFormat="false" ht="15" hidden="false" customHeight="false" outlineLevel="0" collapsed="false">
      <c r="A34" s="26"/>
      <c r="B34" s="3"/>
      <c r="C34" s="3"/>
      <c r="D34" s="3"/>
      <c r="E34" s="3"/>
      <c r="F34" s="3"/>
      <c r="G34" s="29" t="str">
        <f aca="false">IF(OR(E34="",F34=""),"",F34-E34)</f>
        <v/>
      </c>
      <c r="H34" s="3"/>
      <c r="I34" s="3"/>
      <c r="J34" s="3"/>
      <c r="K34" s="3"/>
      <c r="L34" s="3"/>
      <c r="M34" s="27"/>
      <c r="N34" s="28" t="str">
        <f aca="false">IF(AND(F34&lt;&gt;"",C34="Fer 9 + putter",D34=9),COUNTIFS($C$5:C34,"Fer 9 + putter",$D$5:D34,9,$F$5:F34,"&lt;&gt;"),"")</f>
        <v/>
      </c>
    </row>
    <row r="35" customFormat="false" ht="15" hidden="false" customHeight="false" outlineLevel="0" collapsed="false">
      <c r="A35" s="26"/>
      <c r="B35" s="3"/>
      <c r="C35" s="3"/>
      <c r="D35" s="3"/>
      <c r="E35" s="3"/>
      <c r="F35" s="3"/>
      <c r="G35" s="29" t="str">
        <f aca="false">IF(OR(E35="",F35=""),"",F35-E35)</f>
        <v/>
      </c>
      <c r="H35" s="3"/>
      <c r="I35" s="3"/>
      <c r="J35" s="3"/>
      <c r="K35" s="3"/>
      <c r="L35" s="3"/>
      <c r="M35" s="27"/>
      <c r="N35" s="28" t="str">
        <f aca="false">IF(AND(F35&lt;&gt;"",C35="Fer 9 + putter",D35=9),COUNTIFS($C$5:C35,"Fer 9 + putter",$D$5:D35,9,$F$5:F35,"&lt;&gt;"),"")</f>
        <v/>
      </c>
    </row>
    <row r="36" customFormat="false" ht="15" hidden="false" customHeight="false" outlineLevel="0" collapsed="false">
      <c r="A36" s="26"/>
      <c r="B36" s="3"/>
      <c r="C36" s="3"/>
      <c r="D36" s="3"/>
      <c r="E36" s="3"/>
      <c r="F36" s="3"/>
      <c r="G36" s="29" t="str">
        <f aca="false">IF(OR(E36="",F36=""),"",F36-E36)</f>
        <v/>
      </c>
      <c r="H36" s="3"/>
      <c r="I36" s="3"/>
      <c r="J36" s="3"/>
      <c r="K36" s="3"/>
      <c r="L36" s="3"/>
      <c r="M36" s="27"/>
      <c r="N36" s="28" t="str">
        <f aca="false">IF(AND(F36&lt;&gt;"",C36="Fer 9 + putter",D36=9),COUNTIFS($C$5:C36,"Fer 9 + putter",$D$5:D36,9,$F$5:F36,"&lt;&gt;"),"")</f>
        <v/>
      </c>
    </row>
    <row r="37" customFormat="false" ht="15" hidden="false" customHeight="false" outlineLevel="0" collapsed="false">
      <c r="A37" s="26"/>
      <c r="B37" s="3"/>
      <c r="C37" s="3"/>
      <c r="D37" s="3"/>
      <c r="E37" s="3"/>
      <c r="F37" s="3"/>
      <c r="G37" s="29" t="str">
        <f aca="false">IF(OR(E37="",F37=""),"",F37-E37)</f>
        <v/>
      </c>
      <c r="H37" s="3"/>
      <c r="I37" s="3"/>
      <c r="J37" s="3"/>
      <c r="K37" s="3"/>
      <c r="L37" s="3"/>
      <c r="M37" s="27"/>
      <c r="N37" s="28" t="str">
        <f aca="false">IF(AND(F37&lt;&gt;"",C37="Fer 9 + putter",D37=9),COUNTIFS($C$5:C37,"Fer 9 + putter",$D$5:D37,9,$F$5:F37,"&lt;&gt;"),"")</f>
        <v/>
      </c>
    </row>
    <row r="38" customFormat="false" ht="15" hidden="false" customHeight="false" outlineLevel="0" collapsed="false">
      <c r="A38" s="26"/>
      <c r="B38" s="3"/>
      <c r="C38" s="3"/>
      <c r="D38" s="3"/>
      <c r="E38" s="3"/>
      <c r="F38" s="3"/>
      <c r="G38" s="29" t="str">
        <f aca="false">IF(OR(E38="",F38=""),"",F38-E38)</f>
        <v/>
      </c>
      <c r="H38" s="3"/>
      <c r="I38" s="3"/>
      <c r="J38" s="3"/>
      <c r="K38" s="3"/>
      <c r="L38" s="3"/>
      <c r="M38" s="27"/>
      <c r="N38" s="28" t="str">
        <f aca="false">IF(AND(F38&lt;&gt;"",C38="Fer 9 + putter",D38=9),COUNTIFS($C$5:C38,"Fer 9 + putter",$D$5:D38,9,$F$5:F38,"&lt;&gt;"),"")</f>
        <v/>
      </c>
    </row>
    <row r="39" customFormat="false" ht="15" hidden="false" customHeight="false" outlineLevel="0" collapsed="false">
      <c r="A39" s="26"/>
      <c r="B39" s="3"/>
      <c r="C39" s="3"/>
      <c r="D39" s="3"/>
      <c r="E39" s="3"/>
      <c r="F39" s="3"/>
      <c r="G39" s="29" t="str">
        <f aca="false">IF(OR(E39="",F39=""),"",F39-E39)</f>
        <v/>
      </c>
      <c r="H39" s="3"/>
      <c r="I39" s="3"/>
      <c r="J39" s="3"/>
      <c r="K39" s="3"/>
      <c r="L39" s="3"/>
      <c r="M39" s="27"/>
      <c r="N39" s="28" t="str">
        <f aca="false">IF(AND(F39&lt;&gt;"",C39="Fer 9 + putter",D39=9),COUNTIFS($C$5:C39,"Fer 9 + putter",$D$5:D39,9,$F$5:F39,"&lt;&gt;"),"")</f>
        <v/>
      </c>
    </row>
    <row r="40" customFormat="false" ht="15" hidden="false" customHeight="false" outlineLevel="0" collapsed="false">
      <c r="A40" s="26"/>
      <c r="B40" s="3"/>
      <c r="C40" s="3"/>
      <c r="D40" s="3"/>
      <c r="E40" s="3"/>
      <c r="F40" s="3"/>
      <c r="G40" s="29" t="str">
        <f aca="false">IF(OR(E40="",F40=""),"",F40-E40)</f>
        <v/>
      </c>
      <c r="H40" s="3"/>
      <c r="I40" s="3"/>
      <c r="J40" s="3"/>
      <c r="K40" s="3"/>
      <c r="L40" s="3"/>
      <c r="M40" s="27"/>
      <c r="N40" s="28" t="str">
        <f aca="false">IF(AND(F40&lt;&gt;"",C40="Fer 9 + putter",D40=9),COUNTIFS($C$5:C40,"Fer 9 + putter",$D$5:D40,9,$F$5:F40,"&lt;&gt;"),"")</f>
        <v/>
      </c>
    </row>
    <row r="41" customFormat="false" ht="15" hidden="false" customHeight="false" outlineLevel="0" collapsed="false">
      <c r="A41" s="26"/>
      <c r="B41" s="3"/>
      <c r="C41" s="3"/>
      <c r="D41" s="3"/>
      <c r="E41" s="3"/>
      <c r="F41" s="3"/>
      <c r="G41" s="29" t="str">
        <f aca="false">IF(OR(E41="",F41=""),"",F41-E41)</f>
        <v/>
      </c>
      <c r="H41" s="3"/>
      <c r="I41" s="3"/>
      <c r="J41" s="3"/>
      <c r="K41" s="3"/>
      <c r="L41" s="3"/>
      <c r="M41" s="27"/>
      <c r="N41" s="28" t="str">
        <f aca="false">IF(AND(F41&lt;&gt;"",C41="Fer 9 + putter",D41=9),COUNTIFS($C$5:C41,"Fer 9 + putter",$D$5:D41,9,$F$5:F41,"&lt;&gt;"),"")</f>
        <v/>
      </c>
    </row>
    <row r="42" customFormat="false" ht="15" hidden="false" customHeight="false" outlineLevel="0" collapsed="false">
      <c r="A42" s="26"/>
      <c r="B42" s="3"/>
      <c r="C42" s="3"/>
      <c r="D42" s="3"/>
      <c r="E42" s="3"/>
      <c r="F42" s="3"/>
      <c r="G42" s="29" t="str">
        <f aca="false">IF(OR(E42="",F42=""),"",F42-E42)</f>
        <v/>
      </c>
      <c r="H42" s="3"/>
      <c r="I42" s="3"/>
      <c r="J42" s="3"/>
      <c r="K42" s="3"/>
      <c r="L42" s="3"/>
      <c r="M42" s="27"/>
      <c r="N42" s="28" t="str">
        <f aca="false">IF(AND(F42&lt;&gt;"",C42="Fer 9 + putter",D42=9),COUNTIFS($C$5:C42,"Fer 9 + putter",$D$5:D42,9,$F$5:F42,"&lt;&gt;"),"")</f>
        <v/>
      </c>
    </row>
    <row r="43" customFormat="false" ht="15" hidden="false" customHeight="false" outlineLevel="0" collapsed="false">
      <c r="A43" s="26"/>
      <c r="B43" s="3"/>
      <c r="C43" s="3"/>
      <c r="D43" s="3"/>
      <c r="E43" s="3"/>
      <c r="F43" s="3"/>
      <c r="G43" s="29" t="str">
        <f aca="false">IF(OR(E43="",F43=""),"",F43-E43)</f>
        <v/>
      </c>
      <c r="H43" s="3"/>
      <c r="I43" s="3"/>
      <c r="J43" s="3"/>
      <c r="K43" s="3"/>
      <c r="L43" s="3"/>
      <c r="M43" s="27"/>
      <c r="N43" s="28" t="str">
        <f aca="false">IF(AND(F43&lt;&gt;"",C43="Fer 9 + putter",D43=9),COUNTIFS($C$5:C43,"Fer 9 + putter",$D$5:D43,9,$F$5:F43,"&lt;&gt;"),"")</f>
        <v/>
      </c>
    </row>
    <row r="44" customFormat="false" ht="15" hidden="false" customHeight="false" outlineLevel="0" collapsed="false">
      <c r="A44" s="26"/>
      <c r="B44" s="3"/>
      <c r="C44" s="3"/>
      <c r="D44" s="3"/>
      <c r="E44" s="3"/>
      <c r="F44" s="3"/>
      <c r="G44" s="29" t="str">
        <f aca="false">IF(OR(E44="",F44=""),"",F44-E44)</f>
        <v/>
      </c>
      <c r="H44" s="3"/>
      <c r="I44" s="3"/>
      <c r="J44" s="3"/>
      <c r="K44" s="3"/>
      <c r="L44" s="3"/>
      <c r="M44" s="27"/>
      <c r="N44" s="28" t="str">
        <f aca="false">IF(AND(F44&lt;&gt;"",C44="Fer 9 + putter",D44=9),COUNTIFS($C$5:C44,"Fer 9 + putter",$D$5:D44,9,$F$5:F44,"&lt;&gt;"),"")</f>
        <v/>
      </c>
    </row>
    <row r="45" customFormat="false" ht="15" hidden="false" customHeight="false" outlineLevel="0" collapsed="false">
      <c r="A45" s="26"/>
      <c r="B45" s="3"/>
      <c r="C45" s="3"/>
      <c r="D45" s="3"/>
      <c r="E45" s="3"/>
      <c r="F45" s="3"/>
      <c r="G45" s="29" t="str">
        <f aca="false">IF(OR(E45="",F45=""),"",F45-E45)</f>
        <v/>
      </c>
      <c r="H45" s="3"/>
      <c r="I45" s="3"/>
      <c r="J45" s="3"/>
      <c r="K45" s="3"/>
      <c r="L45" s="3"/>
      <c r="M45" s="27"/>
      <c r="N45" s="28" t="str">
        <f aca="false">IF(AND(F45&lt;&gt;"",C45="Fer 9 + putter",D45=9),COUNTIFS($C$5:C45,"Fer 9 + putter",$D$5:D45,9,$F$5:F45,"&lt;&gt;"),"")</f>
        <v/>
      </c>
    </row>
    <row r="46" customFormat="false" ht="15" hidden="false" customHeight="false" outlineLevel="0" collapsed="false">
      <c r="A46" s="26"/>
      <c r="B46" s="3"/>
      <c r="C46" s="3"/>
      <c r="D46" s="3"/>
      <c r="E46" s="3"/>
      <c r="F46" s="3"/>
      <c r="G46" s="29" t="str">
        <f aca="false">IF(OR(E46="",F46=""),"",F46-E46)</f>
        <v/>
      </c>
      <c r="H46" s="3"/>
      <c r="I46" s="3"/>
      <c r="J46" s="3"/>
      <c r="K46" s="3"/>
      <c r="L46" s="3"/>
      <c r="M46" s="27"/>
      <c r="N46" s="28" t="str">
        <f aca="false">IF(AND(F46&lt;&gt;"",C46="Fer 9 + putter",D46=9),COUNTIFS($C$5:C46,"Fer 9 + putter",$D$5:D46,9,$F$5:F46,"&lt;&gt;"),"")</f>
        <v/>
      </c>
    </row>
    <row r="47" customFormat="false" ht="15" hidden="false" customHeight="false" outlineLevel="0" collapsed="false">
      <c r="A47" s="26"/>
      <c r="B47" s="3"/>
      <c r="C47" s="3"/>
      <c r="D47" s="3"/>
      <c r="E47" s="3"/>
      <c r="F47" s="3"/>
      <c r="G47" s="29" t="str">
        <f aca="false">IF(OR(E47="",F47=""),"",F47-E47)</f>
        <v/>
      </c>
      <c r="H47" s="3"/>
      <c r="I47" s="3"/>
      <c r="J47" s="3"/>
      <c r="K47" s="3"/>
      <c r="L47" s="3"/>
      <c r="M47" s="27"/>
      <c r="N47" s="28" t="str">
        <f aca="false">IF(AND(F47&lt;&gt;"",C47="Fer 9 + putter",D47=9),COUNTIFS($C$5:C47,"Fer 9 + putter",$D$5:D47,9,$F$5:F47,"&lt;&gt;"),"")</f>
        <v/>
      </c>
    </row>
    <row r="48" customFormat="false" ht="15" hidden="false" customHeight="false" outlineLevel="0" collapsed="false">
      <c r="A48" s="26"/>
      <c r="B48" s="3"/>
      <c r="C48" s="3"/>
      <c r="D48" s="3"/>
      <c r="E48" s="3"/>
      <c r="F48" s="3"/>
      <c r="G48" s="29" t="str">
        <f aca="false">IF(OR(E48="",F48=""),"",F48-E48)</f>
        <v/>
      </c>
      <c r="H48" s="3"/>
      <c r="I48" s="3"/>
      <c r="J48" s="3"/>
      <c r="K48" s="3"/>
      <c r="L48" s="3"/>
      <c r="M48" s="27"/>
      <c r="N48" s="28" t="str">
        <f aca="false">IF(AND(F48&lt;&gt;"",C48="Fer 9 + putter",D48=9),COUNTIFS($C$5:C48,"Fer 9 + putter",$D$5:D48,9,$F$5:F48,"&lt;&gt;"),"")</f>
        <v/>
      </c>
    </row>
    <row r="49" customFormat="false" ht="15" hidden="false" customHeight="false" outlineLevel="0" collapsed="false">
      <c r="A49" s="26"/>
      <c r="B49" s="3"/>
      <c r="C49" s="3"/>
      <c r="D49" s="3"/>
      <c r="E49" s="3"/>
      <c r="F49" s="3"/>
      <c r="G49" s="29" t="str">
        <f aca="false">IF(OR(E49="",F49=""),"",F49-E49)</f>
        <v/>
      </c>
      <c r="H49" s="3"/>
      <c r="I49" s="3"/>
      <c r="J49" s="3"/>
      <c r="K49" s="3"/>
      <c r="L49" s="3"/>
      <c r="M49" s="27"/>
      <c r="N49" s="28" t="str">
        <f aca="false">IF(AND(F49&lt;&gt;"",C49="Fer 9 + putter",D49=9),COUNTIFS($C$5:C49,"Fer 9 + putter",$D$5:D49,9,$F$5:F49,"&lt;&gt;"),"")</f>
        <v/>
      </c>
    </row>
    <row r="50" customFormat="false" ht="15" hidden="false" customHeight="false" outlineLevel="0" collapsed="false">
      <c r="A50" s="26"/>
      <c r="B50" s="3"/>
      <c r="C50" s="3"/>
      <c r="D50" s="3"/>
      <c r="E50" s="3"/>
      <c r="F50" s="3"/>
      <c r="G50" s="29" t="str">
        <f aca="false">IF(OR(E50="",F50=""),"",F50-E50)</f>
        <v/>
      </c>
      <c r="H50" s="3"/>
      <c r="I50" s="3"/>
      <c r="J50" s="3"/>
      <c r="K50" s="3"/>
      <c r="L50" s="3"/>
      <c r="M50" s="27"/>
      <c r="N50" s="28" t="str">
        <f aca="false">IF(AND(F50&lt;&gt;"",C50="Fer 9 + putter",D50=9),COUNTIFS($C$5:C50,"Fer 9 + putter",$D$5:D50,9,$F$5:F50,"&lt;&gt;"),"")</f>
        <v/>
      </c>
    </row>
    <row r="51" customFormat="false" ht="15" hidden="false" customHeight="false" outlineLevel="0" collapsed="false">
      <c r="A51" s="26"/>
      <c r="B51" s="3"/>
      <c r="C51" s="3"/>
      <c r="D51" s="3"/>
      <c r="E51" s="3"/>
      <c r="F51" s="3"/>
      <c r="G51" s="29" t="str">
        <f aca="false">IF(OR(E51="",F51=""),"",F51-E51)</f>
        <v/>
      </c>
      <c r="H51" s="3"/>
      <c r="I51" s="3"/>
      <c r="J51" s="3"/>
      <c r="K51" s="3"/>
      <c r="L51" s="3"/>
      <c r="M51" s="27"/>
      <c r="N51" s="28" t="str">
        <f aca="false">IF(AND(F51&lt;&gt;"",C51="Fer 9 + putter",D51=9),COUNTIFS($C$5:C51,"Fer 9 + putter",$D$5:D51,9,$F$5:F51,"&lt;&gt;"),"")</f>
        <v/>
      </c>
    </row>
    <row r="52" customFormat="false" ht="15" hidden="false" customHeight="false" outlineLevel="0" collapsed="false">
      <c r="A52" s="26"/>
      <c r="B52" s="3"/>
      <c r="C52" s="3"/>
      <c r="D52" s="3"/>
      <c r="E52" s="3"/>
      <c r="F52" s="3"/>
      <c r="G52" s="29" t="str">
        <f aca="false">IF(OR(E52="",F52=""),"",F52-E52)</f>
        <v/>
      </c>
      <c r="H52" s="3"/>
      <c r="I52" s="3"/>
      <c r="J52" s="3"/>
      <c r="K52" s="3"/>
      <c r="L52" s="3"/>
      <c r="M52" s="27"/>
      <c r="N52" s="28" t="str">
        <f aca="false">IF(AND(F52&lt;&gt;"",C52="Fer 9 + putter",D52=9),COUNTIFS($C$5:C52,"Fer 9 + putter",$D$5:D52,9,$F$5:F52,"&lt;&gt;"),"")</f>
        <v/>
      </c>
    </row>
    <row r="53" customFormat="false" ht="15" hidden="false" customHeight="false" outlineLevel="0" collapsed="false">
      <c r="A53" s="26"/>
      <c r="B53" s="3"/>
      <c r="C53" s="3"/>
      <c r="D53" s="3"/>
      <c r="E53" s="3"/>
      <c r="F53" s="3"/>
      <c r="G53" s="29" t="str">
        <f aca="false">IF(OR(E53="",F53=""),"",F53-E53)</f>
        <v/>
      </c>
      <c r="H53" s="3"/>
      <c r="I53" s="3"/>
      <c r="J53" s="3"/>
      <c r="K53" s="3"/>
      <c r="L53" s="3"/>
      <c r="M53" s="27"/>
      <c r="N53" s="28" t="str">
        <f aca="false">IF(AND(F53&lt;&gt;"",C53="Fer 9 + putter",D53=9),COUNTIFS($C$5:C53,"Fer 9 + putter",$D$5:D53,9,$F$5:F53,"&lt;&gt;"),"")</f>
        <v/>
      </c>
    </row>
    <row r="54" customFormat="false" ht="15" hidden="false" customHeight="false" outlineLevel="0" collapsed="false">
      <c r="A54" s="26"/>
      <c r="B54" s="3"/>
      <c r="C54" s="3"/>
      <c r="D54" s="3"/>
      <c r="E54" s="3"/>
      <c r="F54" s="3"/>
      <c r="G54" s="29" t="str">
        <f aca="false">IF(OR(E54="",F54=""),"",F54-E54)</f>
        <v/>
      </c>
      <c r="H54" s="3"/>
      <c r="I54" s="3"/>
      <c r="J54" s="3"/>
      <c r="K54" s="3"/>
      <c r="L54" s="3"/>
      <c r="M54" s="27"/>
      <c r="N54" s="28" t="str">
        <f aca="false">IF(AND(F54&lt;&gt;"",C54="Fer 9 + putter",D54=9),COUNTIFS($C$5:C54,"Fer 9 + putter",$D$5:D54,9,$F$5:F54,"&lt;&gt;"),"")</f>
        <v/>
      </c>
    </row>
    <row r="55" customFormat="false" ht="15" hidden="false" customHeight="false" outlineLevel="0" collapsed="false">
      <c r="A55" s="26"/>
      <c r="B55" s="3"/>
      <c r="C55" s="3"/>
      <c r="D55" s="3"/>
      <c r="E55" s="3"/>
      <c r="F55" s="3"/>
      <c r="G55" s="29" t="str">
        <f aca="false">IF(OR(E55="",F55=""),"",F55-E55)</f>
        <v/>
      </c>
      <c r="H55" s="3"/>
      <c r="I55" s="3"/>
      <c r="J55" s="3"/>
      <c r="K55" s="3"/>
      <c r="L55" s="3"/>
      <c r="M55" s="27"/>
      <c r="N55" s="28" t="str">
        <f aca="false">IF(AND(F55&lt;&gt;"",C55="Fer 9 + putter",D55=9),COUNTIFS($C$5:C55,"Fer 9 + putter",$D$5:D55,9,$F$5:F55,"&lt;&gt;"),"")</f>
        <v/>
      </c>
    </row>
    <row r="56" customFormat="false" ht="15" hidden="false" customHeight="false" outlineLevel="0" collapsed="false">
      <c r="A56" s="26"/>
      <c r="B56" s="3"/>
      <c r="C56" s="3"/>
      <c r="D56" s="3"/>
      <c r="E56" s="3"/>
      <c r="F56" s="3"/>
      <c r="G56" s="29" t="str">
        <f aca="false">IF(OR(E56="",F56=""),"",F56-E56)</f>
        <v/>
      </c>
      <c r="H56" s="3"/>
      <c r="I56" s="3"/>
      <c r="J56" s="3"/>
      <c r="K56" s="3"/>
      <c r="L56" s="3"/>
      <c r="M56" s="27"/>
      <c r="N56" s="28" t="str">
        <f aca="false">IF(AND(F56&lt;&gt;"",C56="Fer 9 + putter",D56=9),COUNTIFS($C$5:C56,"Fer 9 + putter",$D$5:D56,9,$F$5:F56,"&lt;&gt;"),"")</f>
        <v/>
      </c>
    </row>
    <row r="57" customFormat="false" ht="15" hidden="false" customHeight="false" outlineLevel="0" collapsed="false">
      <c r="A57" s="26"/>
      <c r="B57" s="3"/>
      <c r="C57" s="3"/>
      <c r="D57" s="3"/>
      <c r="E57" s="3"/>
      <c r="F57" s="3"/>
      <c r="G57" s="29" t="str">
        <f aca="false">IF(OR(E57="",F57=""),"",F57-E57)</f>
        <v/>
      </c>
      <c r="H57" s="3"/>
      <c r="I57" s="3"/>
      <c r="J57" s="3"/>
      <c r="K57" s="3"/>
      <c r="L57" s="3"/>
      <c r="M57" s="27"/>
      <c r="N57" s="28" t="str">
        <f aca="false">IF(AND(F57&lt;&gt;"",C57="Fer 9 + putter",D57=9),COUNTIFS($C$5:C57,"Fer 9 + putter",$D$5:D57,9,$F$5:F57,"&lt;&gt;"),"")</f>
        <v/>
      </c>
    </row>
    <row r="58" customFormat="false" ht="15" hidden="false" customHeight="false" outlineLevel="0" collapsed="false">
      <c r="A58" s="26"/>
      <c r="B58" s="3"/>
      <c r="C58" s="3"/>
      <c r="D58" s="3"/>
      <c r="E58" s="3"/>
      <c r="F58" s="3"/>
      <c r="G58" s="29" t="str">
        <f aca="false">IF(OR(E58="",F58=""),"",F58-E58)</f>
        <v/>
      </c>
      <c r="H58" s="3"/>
      <c r="I58" s="3"/>
      <c r="J58" s="3"/>
      <c r="K58" s="3"/>
      <c r="L58" s="3"/>
      <c r="M58" s="27"/>
      <c r="N58" s="28" t="str">
        <f aca="false">IF(AND(F58&lt;&gt;"",C58="Fer 9 + putter",D58=9),COUNTIFS($C$5:C58,"Fer 9 + putter",$D$5:D58,9,$F$5:F58,"&lt;&gt;"),"")</f>
        <v/>
      </c>
    </row>
    <row r="59" customFormat="false" ht="15" hidden="false" customHeight="false" outlineLevel="0" collapsed="false">
      <c r="A59" s="26"/>
      <c r="B59" s="3"/>
      <c r="C59" s="3"/>
      <c r="D59" s="3"/>
      <c r="E59" s="3"/>
      <c r="F59" s="3"/>
      <c r="G59" s="29" t="str">
        <f aca="false">IF(OR(E59="",F59=""),"",F59-E59)</f>
        <v/>
      </c>
      <c r="H59" s="3"/>
      <c r="I59" s="3"/>
      <c r="J59" s="3"/>
      <c r="K59" s="3"/>
      <c r="L59" s="3"/>
      <c r="M59" s="27"/>
      <c r="N59" s="28" t="str">
        <f aca="false">IF(AND(F59&lt;&gt;"",C59="Fer 9 + putter",D59=9),COUNTIFS($C$5:C59,"Fer 9 + putter",$D$5:D59,9,$F$5:F59,"&lt;&gt;"),"")</f>
        <v/>
      </c>
    </row>
    <row r="60" customFormat="false" ht="15" hidden="false" customHeight="false" outlineLevel="0" collapsed="false">
      <c r="A60" s="26"/>
      <c r="B60" s="3"/>
      <c r="C60" s="3"/>
      <c r="D60" s="3"/>
      <c r="E60" s="3"/>
      <c r="F60" s="3"/>
      <c r="G60" s="29" t="str">
        <f aca="false">IF(OR(E60="",F60=""),"",F60-E60)</f>
        <v/>
      </c>
      <c r="H60" s="3"/>
      <c r="I60" s="3"/>
      <c r="J60" s="3"/>
      <c r="K60" s="3"/>
      <c r="L60" s="3"/>
      <c r="M60" s="27"/>
      <c r="N60" s="28" t="str">
        <f aca="false">IF(AND(F60&lt;&gt;"",C60="Fer 9 + putter",D60=9),COUNTIFS($C$5:C60,"Fer 9 + putter",$D$5:D60,9,$F$5:F60,"&lt;&gt;"),"")</f>
        <v/>
      </c>
    </row>
    <row r="61" customFormat="false" ht="15" hidden="false" customHeight="false" outlineLevel="0" collapsed="false">
      <c r="A61" s="26"/>
      <c r="B61" s="3"/>
      <c r="C61" s="3"/>
      <c r="D61" s="3"/>
      <c r="E61" s="3"/>
      <c r="F61" s="3"/>
      <c r="G61" s="29" t="str">
        <f aca="false">IF(OR(E61="",F61=""),"",F61-E61)</f>
        <v/>
      </c>
      <c r="H61" s="3"/>
      <c r="I61" s="3"/>
      <c r="J61" s="3"/>
      <c r="K61" s="3"/>
      <c r="L61" s="3"/>
      <c r="M61" s="27"/>
      <c r="N61" s="28" t="str">
        <f aca="false">IF(AND(F61&lt;&gt;"",C61="Fer 9 + putter",D61=9),COUNTIFS($C$5:C61,"Fer 9 + putter",$D$5:D61,9,$F$5:F61,"&lt;&gt;"),"")</f>
        <v/>
      </c>
    </row>
    <row r="62" customFormat="false" ht="15" hidden="false" customHeight="false" outlineLevel="0" collapsed="false">
      <c r="A62" s="26"/>
      <c r="B62" s="3"/>
      <c r="C62" s="3"/>
      <c r="D62" s="3"/>
      <c r="E62" s="3"/>
      <c r="F62" s="3"/>
      <c r="G62" s="29" t="str">
        <f aca="false">IF(OR(E62="",F62=""),"",F62-E62)</f>
        <v/>
      </c>
      <c r="H62" s="3"/>
      <c r="I62" s="3"/>
      <c r="J62" s="3"/>
      <c r="K62" s="3"/>
      <c r="L62" s="3"/>
      <c r="M62" s="27"/>
      <c r="N62" s="28" t="str">
        <f aca="false">IF(AND(F62&lt;&gt;"",C62="Fer 9 + putter",D62=9),COUNTIFS($C$5:C62,"Fer 9 + putter",$D$5:D62,9,$F$5:F62,"&lt;&gt;"),"")</f>
        <v/>
      </c>
    </row>
    <row r="63" customFormat="false" ht="15" hidden="false" customHeight="false" outlineLevel="0" collapsed="false">
      <c r="A63" s="26"/>
      <c r="B63" s="3"/>
      <c r="C63" s="3"/>
      <c r="D63" s="3"/>
      <c r="E63" s="3"/>
      <c r="F63" s="3"/>
      <c r="G63" s="29" t="str">
        <f aca="false">IF(OR(E63="",F63=""),"",F63-E63)</f>
        <v/>
      </c>
      <c r="H63" s="3"/>
      <c r="I63" s="3"/>
      <c r="J63" s="3"/>
      <c r="K63" s="3"/>
      <c r="L63" s="3"/>
      <c r="M63" s="27"/>
      <c r="N63" s="28" t="str">
        <f aca="false">IF(AND(F63&lt;&gt;"",C63="Fer 9 + putter",D63=9),COUNTIFS($C$5:C63,"Fer 9 + putter",$D$5:D63,9,$F$5:F63,"&lt;&gt;"),"")</f>
        <v/>
      </c>
    </row>
    <row r="64" customFormat="false" ht="15" hidden="false" customHeight="false" outlineLevel="0" collapsed="false">
      <c r="A64" s="26"/>
      <c r="B64" s="3"/>
      <c r="C64" s="3"/>
      <c r="D64" s="3"/>
      <c r="E64" s="3"/>
      <c r="F64" s="3"/>
      <c r="G64" s="29" t="str">
        <f aca="false">IF(OR(E64="",F64=""),"",F64-E64)</f>
        <v/>
      </c>
      <c r="H64" s="3"/>
      <c r="I64" s="3"/>
      <c r="J64" s="3"/>
      <c r="K64" s="3"/>
      <c r="L64" s="3"/>
      <c r="M64" s="27"/>
      <c r="N64" s="28" t="str">
        <f aca="false">IF(AND(F64&lt;&gt;"",C64="Fer 9 + putter",D64=9),COUNTIFS($C$5:C64,"Fer 9 + putter",$D$5:D64,9,$F$5:F64,"&lt;&gt;"),"")</f>
        <v/>
      </c>
    </row>
    <row r="65" customFormat="false" ht="15" hidden="false" customHeight="false" outlineLevel="0" collapsed="false">
      <c r="A65" s="26"/>
      <c r="B65" s="3"/>
      <c r="C65" s="3"/>
      <c r="D65" s="3"/>
      <c r="E65" s="3"/>
      <c r="F65" s="3"/>
      <c r="G65" s="29" t="str">
        <f aca="false">IF(OR(E65="",F65=""),"",F65-E65)</f>
        <v/>
      </c>
      <c r="H65" s="3"/>
      <c r="I65" s="3"/>
      <c r="J65" s="3"/>
      <c r="K65" s="3"/>
      <c r="L65" s="3"/>
      <c r="M65" s="27"/>
      <c r="N65" s="28" t="str">
        <f aca="false">IF(AND(F65&lt;&gt;"",C65="Fer 9 + putter",D65=9),COUNTIFS($C$5:C65,"Fer 9 + putter",$D$5:D65,9,$F$5:F65,"&lt;&gt;"),"")</f>
        <v/>
      </c>
    </row>
    <row r="66" customFormat="false" ht="15" hidden="false" customHeight="false" outlineLevel="0" collapsed="false">
      <c r="A66" s="26"/>
      <c r="B66" s="3"/>
      <c r="C66" s="3"/>
      <c r="D66" s="3"/>
      <c r="E66" s="3"/>
      <c r="F66" s="3"/>
      <c r="G66" s="29" t="str">
        <f aca="false">IF(OR(E66="",F66=""),"",F66-E66)</f>
        <v/>
      </c>
      <c r="H66" s="3"/>
      <c r="I66" s="3"/>
      <c r="J66" s="3"/>
      <c r="K66" s="3"/>
      <c r="L66" s="3"/>
      <c r="M66" s="27"/>
      <c r="N66" s="28" t="str">
        <f aca="false">IF(AND(F66&lt;&gt;"",C66="Fer 9 + putter",D66=9),COUNTIFS($C$5:C66,"Fer 9 + putter",$D$5:D66,9,$F$5:F66,"&lt;&gt;"),"")</f>
        <v/>
      </c>
    </row>
    <row r="67" customFormat="false" ht="15" hidden="false" customHeight="false" outlineLevel="0" collapsed="false">
      <c r="A67" s="26"/>
      <c r="B67" s="3"/>
      <c r="C67" s="3"/>
      <c r="D67" s="3"/>
      <c r="E67" s="3"/>
      <c r="F67" s="3"/>
      <c r="G67" s="29" t="str">
        <f aca="false">IF(OR(E67="",F67=""),"",F67-E67)</f>
        <v/>
      </c>
      <c r="H67" s="3"/>
      <c r="I67" s="3"/>
      <c r="J67" s="3"/>
      <c r="K67" s="3"/>
      <c r="L67" s="3"/>
      <c r="M67" s="27"/>
      <c r="N67" s="28" t="str">
        <f aca="false">IF(AND(F67&lt;&gt;"",C67="Fer 9 + putter",D67=9),COUNTIFS($C$5:C67,"Fer 9 + putter",$D$5:D67,9,$F$5:F67,"&lt;&gt;"),"")</f>
        <v/>
      </c>
    </row>
    <row r="68" customFormat="false" ht="15" hidden="false" customHeight="false" outlineLevel="0" collapsed="false">
      <c r="A68" s="26"/>
      <c r="B68" s="3"/>
      <c r="C68" s="3"/>
      <c r="D68" s="3"/>
      <c r="E68" s="3"/>
      <c r="F68" s="3"/>
      <c r="G68" s="29" t="str">
        <f aca="false">IF(OR(E68="",F68=""),"",F68-E68)</f>
        <v/>
      </c>
      <c r="H68" s="3"/>
      <c r="I68" s="3"/>
      <c r="J68" s="3"/>
      <c r="K68" s="3"/>
      <c r="L68" s="3"/>
      <c r="M68" s="27"/>
      <c r="N68" s="28" t="str">
        <f aca="false">IF(AND(F68&lt;&gt;"",C68="Fer 9 + putter",D68=9),COUNTIFS($C$5:C68,"Fer 9 + putter",$D$5:D68,9,$F$5:F68,"&lt;&gt;"),"")</f>
        <v/>
      </c>
    </row>
    <row r="69" customFormat="false" ht="15" hidden="false" customHeight="false" outlineLevel="0" collapsed="false">
      <c r="A69" s="26"/>
      <c r="B69" s="3"/>
      <c r="C69" s="3"/>
      <c r="D69" s="3"/>
      <c r="E69" s="3"/>
      <c r="F69" s="3"/>
      <c r="G69" s="29" t="str">
        <f aca="false">IF(OR(E69="",F69=""),"",F69-E69)</f>
        <v/>
      </c>
      <c r="H69" s="3"/>
      <c r="I69" s="3"/>
      <c r="J69" s="3"/>
      <c r="K69" s="3"/>
      <c r="L69" s="3"/>
      <c r="M69" s="27"/>
      <c r="N69" s="28" t="str">
        <f aca="false">IF(AND(F69&lt;&gt;"",C69="Fer 9 + putter",D69=9),COUNTIFS($C$5:C69,"Fer 9 + putter",$D$5:D69,9,$F$5:F69,"&lt;&gt;"),"")</f>
        <v/>
      </c>
    </row>
    <row r="70" customFormat="false" ht="15" hidden="false" customHeight="false" outlineLevel="0" collapsed="false">
      <c r="A70" s="26"/>
      <c r="B70" s="3"/>
      <c r="C70" s="3"/>
      <c r="D70" s="3"/>
      <c r="E70" s="3"/>
      <c r="F70" s="3"/>
      <c r="G70" s="29" t="str">
        <f aca="false">IF(OR(E70="",F70=""),"",F70-E70)</f>
        <v/>
      </c>
      <c r="H70" s="3"/>
      <c r="I70" s="3"/>
      <c r="J70" s="3"/>
      <c r="K70" s="3"/>
      <c r="L70" s="3"/>
      <c r="M70" s="27"/>
      <c r="N70" s="28" t="str">
        <f aca="false">IF(AND(F70&lt;&gt;"",C70="Fer 9 + putter",D70=9),COUNTIFS($C$5:C70,"Fer 9 + putter",$D$5:D70,9,$F$5:F70,"&lt;&gt;"),"")</f>
        <v/>
      </c>
    </row>
    <row r="71" customFormat="false" ht="15" hidden="false" customHeight="false" outlineLevel="0" collapsed="false">
      <c r="A71" s="26"/>
      <c r="B71" s="3"/>
      <c r="C71" s="3"/>
      <c r="D71" s="3"/>
      <c r="E71" s="3"/>
      <c r="F71" s="3"/>
      <c r="G71" s="29" t="str">
        <f aca="false">IF(OR(E71="",F71=""),"",F71-E71)</f>
        <v/>
      </c>
      <c r="H71" s="3"/>
      <c r="I71" s="3"/>
      <c r="J71" s="3"/>
      <c r="K71" s="3"/>
      <c r="L71" s="3"/>
      <c r="M71" s="27"/>
      <c r="N71" s="28" t="str">
        <f aca="false">IF(AND(F71&lt;&gt;"",C71="Fer 9 + putter",D71=9),COUNTIFS($C$5:C71,"Fer 9 + putter",$D$5:D71,9,$F$5:F71,"&lt;&gt;"),"")</f>
        <v/>
      </c>
    </row>
    <row r="72" customFormat="false" ht="15" hidden="false" customHeight="false" outlineLevel="0" collapsed="false">
      <c r="A72" s="26"/>
      <c r="B72" s="3"/>
      <c r="C72" s="3"/>
      <c r="D72" s="3"/>
      <c r="E72" s="3"/>
      <c r="F72" s="3"/>
      <c r="G72" s="29" t="str">
        <f aca="false">IF(OR(E72="",F72=""),"",F72-E72)</f>
        <v/>
      </c>
      <c r="H72" s="3"/>
      <c r="I72" s="3"/>
      <c r="J72" s="3"/>
      <c r="K72" s="3"/>
      <c r="L72" s="3"/>
      <c r="M72" s="27"/>
      <c r="N72" s="28" t="str">
        <f aca="false">IF(AND(F72&lt;&gt;"",C72="Fer 9 + putter",D72=9),COUNTIFS($C$5:C72,"Fer 9 + putter",$D$5:D72,9,$F$5:F72,"&lt;&gt;"),"")</f>
        <v/>
      </c>
    </row>
    <row r="73" customFormat="false" ht="15" hidden="false" customHeight="false" outlineLevel="0" collapsed="false">
      <c r="A73" s="26"/>
      <c r="B73" s="3"/>
      <c r="C73" s="3"/>
      <c r="D73" s="3"/>
      <c r="E73" s="3"/>
      <c r="F73" s="3"/>
      <c r="G73" s="29" t="str">
        <f aca="false">IF(OR(E73="",F73=""),"",F73-E73)</f>
        <v/>
      </c>
      <c r="H73" s="3"/>
      <c r="I73" s="3"/>
      <c r="J73" s="3"/>
      <c r="K73" s="3"/>
      <c r="L73" s="3"/>
      <c r="M73" s="27"/>
      <c r="N73" s="28" t="str">
        <f aca="false">IF(AND(F73&lt;&gt;"",C73="Fer 9 + putter",D73=9),COUNTIFS($C$5:C73,"Fer 9 + putter",$D$5:D73,9,$F$5:F73,"&lt;&gt;"),"")</f>
        <v/>
      </c>
    </row>
    <row r="74" customFormat="false" ht="15" hidden="false" customHeight="false" outlineLevel="0" collapsed="false">
      <c r="A74" s="26"/>
      <c r="B74" s="3"/>
      <c r="C74" s="3"/>
      <c r="D74" s="3"/>
      <c r="E74" s="3"/>
      <c r="F74" s="3"/>
      <c r="G74" s="29" t="str">
        <f aca="false">IF(OR(E74="",F74=""),"",F74-E74)</f>
        <v/>
      </c>
      <c r="H74" s="3"/>
      <c r="I74" s="3"/>
      <c r="J74" s="3"/>
      <c r="K74" s="3"/>
      <c r="L74" s="3"/>
      <c r="M74" s="27"/>
      <c r="N74" s="28" t="str">
        <f aca="false">IF(AND(F74&lt;&gt;"",C74="Fer 9 + putter",D74=9),COUNTIFS($C$5:C74,"Fer 9 + putter",$D$5:D74,9,$F$5:F74,"&lt;&gt;"),"")</f>
        <v/>
      </c>
    </row>
    <row r="75" customFormat="false" ht="15" hidden="false" customHeight="false" outlineLevel="0" collapsed="false">
      <c r="A75" s="26"/>
      <c r="B75" s="3"/>
      <c r="C75" s="3"/>
      <c r="D75" s="3"/>
      <c r="E75" s="3"/>
      <c r="F75" s="3"/>
      <c r="G75" s="29" t="str">
        <f aca="false">IF(OR(E75="",F75=""),"",F75-E75)</f>
        <v/>
      </c>
      <c r="H75" s="3"/>
      <c r="I75" s="3"/>
      <c r="J75" s="3"/>
      <c r="K75" s="3"/>
      <c r="L75" s="3"/>
      <c r="M75" s="27"/>
      <c r="N75" s="28" t="str">
        <f aca="false">IF(AND(F75&lt;&gt;"",C75="Fer 9 + putter",D75=9),COUNTIFS($C$5:C75,"Fer 9 + putter",$D$5:D75,9,$F$5:F75,"&lt;&gt;"),"")</f>
        <v/>
      </c>
    </row>
    <row r="76" customFormat="false" ht="15" hidden="false" customHeight="false" outlineLevel="0" collapsed="false">
      <c r="A76" s="26"/>
      <c r="B76" s="3"/>
      <c r="C76" s="3"/>
      <c r="D76" s="3"/>
      <c r="E76" s="3"/>
      <c r="F76" s="3"/>
      <c r="G76" s="29" t="str">
        <f aca="false">IF(OR(E76="",F76=""),"",F76-E76)</f>
        <v/>
      </c>
      <c r="H76" s="3"/>
      <c r="I76" s="3"/>
      <c r="J76" s="3"/>
      <c r="K76" s="3"/>
      <c r="L76" s="3"/>
      <c r="M76" s="27"/>
      <c r="N76" s="28" t="str">
        <f aca="false">IF(AND(F76&lt;&gt;"",C76="Fer 9 + putter",D76=9),COUNTIFS($C$5:C76,"Fer 9 + putter",$D$5:D76,9,$F$5:F76,"&lt;&gt;"),"")</f>
        <v/>
      </c>
    </row>
    <row r="77" customFormat="false" ht="15" hidden="false" customHeight="false" outlineLevel="0" collapsed="false">
      <c r="A77" s="26"/>
      <c r="B77" s="3"/>
      <c r="C77" s="3"/>
      <c r="D77" s="3"/>
      <c r="E77" s="3"/>
      <c r="F77" s="3"/>
      <c r="G77" s="29" t="str">
        <f aca="false">IF(OR(E77="",F77=""),"",F77-E77)</f>
        <v/>
      </c>
      <c r="H77" s="3"/>
      <c r="I77" s="3"/>
      <c r="J77" s="3"/>
      <c r="K77" s="3"/>
      <c r="L77" s="3"/>
      <c r="M77" s="27"/>
      <c r="N77" s="28" t="str">
        <f aca="false">IF(AND(F77&lt;&gt;"",C77="Fer 9 + putter",D77=9),COUNTIFS($C$5:C77,"Fer 9 + putter",$D$5:D77,9,$F$5:F77,"&lt;&gt;"),"")</f>
        <v/>
      </c>
    </row>
    <row r="78" customFormat="false" ht="15" hidden="false" customHeight="false" outlineLevel="0" collapsed="false">
      <c r="A78" s="26"/>
      <c r="B78" s="3"/>
      <c r="C78" s="3"/>
      <c r="D78" s="3"/>
      <c r="E78" s="3"/>
      <c r="F78" s="3"/>
      <c r="G78" s="29" t="str">
        <f aca="false">IF(OR(E78="",F78=""),"",F78-E78)</f>
        <v/>
      </c>
      <c r="H78" s="3"/>
      <c r="I78" s="3"/>
      <c r="J78" s="3"/>
      <c r="K78" s="3"/>
      <c r="L78" s="3"/>
      <c r="M78" s="27"/>
      <c r="N78" s="28" t="str">
        <f aca="false">IF(AND(F78&lt;&gt;"",C78="Fer 9 + putter",D78=9),COUNTIFS($C$5:C78,"Fer 9 + putter",$D$5:D78,9,$F$5:F78,"&lt;&gt;"),"")</f>
        <v/>
      </c>
    </row>
    <row r="79" customFormat="false" ht="15" hidden="false" customHeight="false" outlineLevel="0" collapsed="false">
      <c r="A79" s="26"/>
      <c r="B79" s="3"/>
      <c r="C79" s="3"/>
      <c r="D79" s="3"/>
      <c r="E79" s="3"/>
      <c r="F79" s="3"/>
      <c r="G79" s="29" t="str">
        <f aca="false">IF(OR(E79="",F79=""),"",F79-E79)</f>
        <v/>
      </c>
      <c r="H79" s="3"/>
      <c r="I79" s="3"/>
      <c r="J79" s="3"/>
      <c r="K79" s="3"/>
      <c r="L79" s="3"/>
      <c r="M79" s="27"/>
      <c r="N79" s="28" t="str">
        <f aca="false">IF(AND(F79&lt;&gt;"",C79="Fer 9 + putter",D79=9),COUNTIFS($C$5:C79,"Fer 9 + putter",$D$5:D79,9,$F$5:F79,"&lt;&gt;"),"")</f>
        <v/>
      </c>
    </row>
    <row r="80" customFormat="false" ht="15" hidden="false" customHeight="false" outlineLevel="0" collapsed="false">
      <c r="A80" s="26"/>
      <c r="B80" s="3"/>
      <c r="C80" s="3"/>
      <c r="D80" s="3"/>
      <c r="E80" s="3"/>
      <c r="F80" s="3"/>
      <c r="G80" s="29" t="str">
        <f aca="false">IF(OR(E80="",F80=""),"",F80-E80)</f>
        <v/>
      </c>
      <c r="H80" s="3"/>
      <c r="I80" s="3"/>
      <c r="J80" s="3"/>
      <c r="K80" s="3"/>
      <c r="L80" s="3"/>
      <c r="M80" s="27"/>
      <c r="N80" s="28" t="str">
        <f aca="false">IF(AND(F80&lt;&gt;"",C80="Fer 9 + putter",D80=9),COUNTIFS($C$5:C80,"Fer 9 + putter",$D$5:D80,9,$F$5:F80,"&lt;&gt;"),"")</f>
        <v/>
      </c>
    </row>
    <row r="81" customFormat="false" ht="15" hidden="false" customHeight="false" outlineLevel="0" collapsed="false">
      <c r="A81" s="26"/>
      <c r="B81" s="3"/>
      <c r="C81" s="3"/>
      <c r="D81" s="3"/>
      <c r="E81" s="3"/>
      <c r="F81" s="3"/>
      <c r="G81" s="29" t="str">
        <f aca="false">IF(OR(E81="",F81=""),"",F81-E81)</f>
        <v/>
      </c>
      <c r="H81" s="3"/>
      <c r="I81" s="3"/>
      <c r="J81" s="3"/>
      <c r="K81" s="3"/>
      <c r="L81" s="3"/>
      <c r="M81" s="27"/>
      <c r="N81" s="28" t="str">
        <f aca="false">IF(AND(F81&lt;&gt;"",C81="Fer 9 + putter",D81=9),COUNTIFS($C$5:C81,"Fer 9 + putter",$D$5:D81,9,$F$5:F81,"&lt;&gt;"),"")</f>
        <v/>
      </c>
    </row>
    <row r="82" customFormat="false" ht="15" hidden="false" customHeight="false" outlineLevel="0" collapsed="false">
      <c r="A82" s="26"/>
      <c r="B82" s="3"/>
      <c r="C82" s="3"/>
      <c r="D82" s="3"/>
      <c r="E82" s="3"/>
      <c r="F82" s="3"/>
      <c r="G82" s="29" t="str">
        <f aca="false">IF(OR(E82="",F82=""),"",F82-E82)</f>
        <v/>
      </c>
      <c r="H82" s="3"/>
      <c r="I82" s="3"/>
      <c r="J82" s="3"/>
      <c r="K82" s="3"/>
      <c r="L82" s="3"/>
      <c r="M82" s="27"/>
      <c r="N82" s="28" t="str">
        <f aca="false">IF(AND(F82&lt;&gt;"",C82="Fer 9 + putter",D82=9),COUNTIFS($C$5:C82,"Fer 9 + putter",$D$5:D82,9,$F$5:F82,"&lt;&gt;"),"")</f>
        <v/>
      </c>
    </row>
    <row r="83" customFormat="false" ht="15" hidden="false" customHeight="false" outlineLevel="0" collapsed="false">
      <c r="A83" s="26"/>
      <c r="B83" s="3"/>
      <c r="C83" s="3"/>
      <c r="D83" s="3"/>
      <c r="E83" s="3"/>
      <c r="F83" s="3"/>
      <c r="G83" s="29" t="str">
        <f aca="false">IF(OR(E83="",F83=""),"",F83-E83)</f>
        <v/>
      </c>
      <c r="H83" s="3"/>
      <c r="I83" s="3"/>
      <c r="J83" s="3"/>
      <c r="K83" s="3"/>
      <c r="L83" s="3"/>
      <c r="M83" s="27"/>
      <c r="N83" s="28" t="str">
        <f aca="false">IF(AND(F83&lt;&gt;"",C83="Fer 9 + putter",D83=9),COUNTIFS($C$5:C83,"Fer 9 + putter",$D$5:D83,9,$F$5:F83,"&lt;&gt;"),"")</f>
        <v/>
      </c>
    </row>
    <row r="84" customFormat="false" ht="15" hidden="false" customHeight="false" outlineLevel="0" collapsed="false">
      <c r="A84" s="26"/>
      <c r="B84" s="3"/>
      <c r="C84" s="3"/>
      <c r="D84" s="3"/>
      <c r="E84" s="3"/>
      <c r="F84" s="3"/>
      <c r="G84" s="29" t="str">
        <f aca="false">IF(OR(E84="",F84=""),"",F84-E84)</f>
        <v/>
      </c>
      <c r="H84" s="3"/>
      <c r="I84" s="3"/>
      <c r="J84" s="3"/>
      <c r="K84" s="3"/>
      <c r="L84" s="3"/>
      <c r="M84" s="27"/>
      <c r="N84" s="28" t="str">
        <f aca="false">IF(AND(F84&lt;&gt;"",C84="Fer 9 + putter",D84=9),COUNTIFS($C$5:C84,"Fer 9 + putter",$D$5:D84,9,$F$5:F84,"&lt;&gt;"),"")</f>
        <v/>
      </c>
    </row>
    <row r="85" customFormat="false" ht="15" hidden="false" customHeight="false" outlineLevel="0" collapsed="false">
      <c r="A85" s="26"/>
      <c r="B85" s="3"/>
      <c r="C85" s="3"/>
      <c r="D85" s="3"/>
      <c r="E85" s="3"/>
      <c r="F85" s="3"/>
      <c r="G85" s="29" t="str">
        <f aca="false">IF(OR(E85="",F85=""),"",F85-E85)</f>
        <v/>
      </c>
      <c r="H85" s="3"/>
      <c r="I85" s="3"/>
      <c r="J85" s="3"/>
      <c r="K85" s="3"/>
      <c r="L85" s="3"/>
      <c r="M85" s="27"/>
      <c r="N85" s="28" t="str">
        <f aca="false">IF(AND(F85&lt;&gt;"",C85="Fer 9 + putter",D85=9),COUNTIFS($C$5:C85,"Fer 9 + putter",$D$5:D85,9,$F$5:F85,"&lt;&gt;"),"")</f>
        <v/>
      </c>
    </row>
    <row r="86" customFormat="false" ht="15" hidden="false" customHeight="false" outlineLevel="0" collapsed="false">
      <c r="A86" s="26"/>
      <c r="B86" s="3"/>
      <c r="C86" s="3"/>
      <c r="D86" s="3"/>
      <c r="E86" s="3"/>
      <c r="F86" s="3"/>
      <c r="G86" s="29" t="str">
        <f aca="false">IF(OR(E86="",F86=""),"",F86-E86)</f>
        <v/>
      </c>
      <c r="H86" s="3"/>
      <c r="I86" s="3"/>
      <c r="J86" s="3"/>
      <c r="K86" s="3"/>
      <c r="L86" s="3"/>
      <c r="M86" s="27"/>
      <c r="N86" s="28" t="str">
        <f aca="false">IF(AND(F86&lt;&gt;"",C86="Fer 9 + putter",D86=9),COUNTIFS($C$5:C86,"Fer 9 + putter",$D$5:D86,9,$F$5:F86,"&lt;&gt;"),"")</f>
        <v/>
      </c>
    </row>
    <row r="87" customFormat="false" ht="15" hidden="false" customHeight="false" outlineLevel="0" collapsed="false">
      <c r="A87" s="26"/>
      <c r="B87" s="3"/>
      <c r="C87" s="3"/>
      <c r="D87" s="3"/>
      <c r="E87" s="3"/>
      <c r="F87" s="3"/>
      <c r="G87" s="29" t="str">
        <f aca="false">IF(OR(E87="",F87=""),"",F87-E87)</f>
        <v/>
      </c>
      <c r="H87" s="3"/>
      <c r="I87" s="3"/>
      <c r="J87" s="3"/>
      <c r="K87" s="3"/>
      <c r="L87" s="3"/>
      <c r="M87" s="27"/>
      <c r="N87" s="28" t="str">
        <f aca="false">IF(AND(F87&lt;&gt;"",C87="Fer 9 + putter",D87=9),COUNTIFS($C$5:C87,"Fer 9 + putter",$D$5:D87,9,$F$5:F87,"&lt;&gt;"),"")</f>
        <v/>
      </c>
    </row>
    <row r="88" customFormat="false" ht="15" hidden="false" customHeight="false" outlineLevel="0" collapsed="false">
      <c r="A88" s="26"/>
      <c r="B88" s="3"/>
      <c r="C88" s="3"/>
      <c r="D88" s="3"/>
      <c r="E88" s="3"/>
      <c r="F88" s="3"/>
      <c r="G88" s="29" t="str">
        <f aca="false">IF(OR(E88="",F88=""),"",F88-E88)</f>
        <v/>
      </c>
      <c r="H88" s="3"/>
      <c r="I88" s="3"/>
      <c r="J88" s="3"/>
      <c r="K88" s="3"/>
      <c r="L88" s="3"/>
      <c r="M88" s="27"/>
      <c r="N88" s="28" t="str">
        <f aca="false">IF(AND(F88&lt;&gt;"",C88="Fer 9 + putter",D88=9),COUNTIFS($C$5:C88,"Fer 9 + putter",$D$5:D88,9,$F$5:F88,"&lt;&gt;"),"")</f>
        <v/>
      </c>
    </row>
    <row r="89" customFormat="false" ht="15" hidden="false" customHeight="false" outlineLevel="0" collapsed="false">
      <c r="A89" s="26"/>
      <c r="B89" s="3"/>
      <c r="C89" s="3"/>
      <c r="D89" s="3"/>
      <c r="E89" s="3"/>
      <c r="F89" s="3"/>
      <c r="G89" s="29" t="str">
        <f aca="false">IF(OR(E89="",F89=""),"",F89-E89)</f>
        <v/>
      </c>
      <c r="H89" s="3"/>
      <c r="I89" s="3"/>
      <c r="J89" s="3"/>
      <c r="K89" s="3"/>
      <c r="L89" s="3"/>
      <c r="M89" s="27"/>
      <c r="N89" s="28" t="str">
        <f aca="false">IF(AND(F89&lt;&gt;"",C89="Fer 9 + putter",D89=9),COUNTIFS($C$5:C89,"Fer 9 + putter",$D$5:D89,9,$F$5:F89,"&lt;&gt;"),"")</f>
        <v/>
      </c>
    </row>
    <row r="90" customFormat="false" ht="15" hidden="false" customHeight="false" outlineLevel="0" collapsed="false">
      <c r="A90" s="26"/>
      <c r="B90" s="3"/>
      <c r="C90" s="3"/>
      <c r="D90" s="3"/>
      <c r="E90" s="3"/>
      <c r="F90" s="3"/>
      <c r="G90" s="29" t="str">
        <f aca="false">IF(OR(E90="",F90=""),"",F90-E90)</f>
        <v/>
      </c>
      <c r="H90" s="3"/>
      <c r="I90" s="3"/>
      <c r="J90" s="3"/>
      <c r="K90" s="3"/>
      <c r="L90" s="3"/>
      <c r="M90" s="27"/>
      <c r="N90" s="28" t="str">
        <f aca="false">IF(AND(F90&lt;&gt;"",C90="Fer 9 + putter",D90=9),COUNTIFS($C$5:C90,"Fer 9 + putter",$D$5:D90,9,$F$5:F90,"&lt;&gt;"),"")</f>
        <v/>
      </c>
    </row>
    <row r="91" customFormat="false" ht="15" hidden="false" customHeight="false" outlineLevel="0" collapsed="false">
      <c r="A91" s="26"/>
      <c r="B91" s="3"/>
      <c r="C91" s="3"/>
      <c r="D91" s="3"/>
      <c r="E91" s="3"/>
      <c r="F91" s="3"/>
      <c r="G91" s="29" t="str">
        <f aca="false">IF(OR(E91="",F91=""),"",F91-E91)</f>
        <v/>
      </c>
      <c r="H91" s="3"/>
      <c r="I91" s="3"/>
      <c r="J91" s="3"/>
      <c r="K91" s="3"/>
      <c r="L91" s="3"/>
      <c r="M91" s="27"/>
      <c r="N91" s="28" t="str">
        <f aca="false">IF(AND(F91&lt;&gt;"",C91="Fer 9 + putter",D91=9),COUNTIFS($C$5:C91,"Fer 9 + putter",$D$5:D91,9,$F$5:F91,"&lt;&gt;"),"")</f>
        <v/>
      </c>
    </row>
    <row r="92" customFormat="false" ht="15" hidden="false" customHeight="false" outlineLevel="0" collapsed="false">
      <c r="A92" s="26"/>
      <c r="B92" s="3"/>
      <c r="C92" s="3"/>
      <c r="D92" s="3"/>
      <c r="E92" s="3"/>
      <c r="F92" s="3"/>
      <c r="G92" s="29" t="str">
        <f aca="false">IF(OR(E92="",F92=""),"",F92-E92)</f>
        <v/>
      </c>
      <c r="H92" s="3"/>
      <c r="I92" s="3"/>
      <c r="J92" s="3"/>
      <c r="K92" s="3"/>
      <c r="L92" s="3"/>
      <c r="M92" s="27"/>
      <c r="N92" s="28" t="str">
        <f aca="false">IF(AND(F92&lt;&gt;"",C92="Fer 9 + putter",D92=9),COUNTIFS($C$5:C92,"Fer 9 + putter",$D$5:D92,9,$F$5:F92,"&lt;&gt;"),"")</f>
        <v/>
      </c>
    </row>
    <row r="93" customFormat="false" ht="15" hidden="false" customHeight="false" outlineLevel="0" collapsed="false">
      <c r="A93" s="26"/>
      <c r="B93" s="3"/>
      <c r="C93" s="3"/>
      <c r="D93" s="3"/>
      <c r="E93" s="3"/>
      <c r="F93" s="3"/>
      <c r="G93" s="29" t="str">
        <f aca="false">IF(OR(E93="",F93=""),"",F93-E93)</f>
        <v/>
      </c>
      <c r="H93" s="3"/>
      <c r="I93" s="3"/>
      <c r="J93" s="3"/>
      <c r="K93" s="3"/>
      <c r="L93" s="3"/>
      <c r="M93" s="27"/>
      <c r="N93" s="28" t="str">
        <f aca="false">IF(AND(F93&lt;&gt;"",C93="Fer 9 + putter",D93=9),COUNTIFS($C$5:C93,"Fer 9 + putter",$D$5:D93,9,$F$5:F93,"&lt;&gt;"),"")</f>
        <v/>
      </c>
    </row>
    <row r="94" customFormat="false" ht="15" hidden="false" customHeight="false" outlineLevel="0" collapsed="false">
      <c r="A94" s="26"/>
      <c r="B94" s="3"/>
      <c r="C94" s="3"/>
      <c r="D94" s="3"/>
      <c r="E94" s="3"/>
      <c r="F94" s="3"/>
      <c r="G94" s="29" t="str">
        <f aca="false">IF(OR(E94="",F94=""),"",F94-E94)</f>
        <v/>
      </c>
      <c r="H94" s="3"/>
      <c r="I94" s="3"/>
      <c r="J94" s="3"/>
      <c r="K94" s="3"/>
      <c r="L94" s="3"/>
      <c r="M94" s="27"/>
      <c r="N94" s="28" t="str">
        <f aca="false">IF(AND(F94&lt;&gt;"",C94="Fer 9 + putter",D94=9),COUNTIFS($C$5:C94,"Fer 9 + putter",$D$5:D94,9,$F$5:F94,"&lt;&gt;"),"")</f>
        <v/>
      </c>
    </row>
    <row r="95" customFormat="false" ht="15" hidden="false" customHeight="false" outlineLevel="0" collapsed="false">
      <c r="A95" s="26"/>
      <c r="B95" s="3"/>
      <c r="C95" s="3"/>
      <c r="D95" s="3"/>
      <c r="E95" s="3"/>
      <c r="F95" s="3"/>
      <c r="G95" s="29" t="str">
        <f aca="false">IF(OR(E95="",F95=""),"",F95-E95)</f>
        <v/>
      </c>
      <c r="H95" s="3"/>
      <c r="I95" s="3"/>
      <c r="J95" s="3"/>
      <c r="K95" s="3"/>
      <c r="L95" s="3"/>
      <c r="M95" s="27"/>
      <c r="N95" s="28" t="str">
        <f aca="false">IF(AND(F95&lt;&gt;"",C95="Fer 9 + putter",D95=9),COUNTIFS($C$5:C95,"Fer 9 + putter",$D$5:D95,9,$F$5:F95,"&lt;&gt;"),"")</f>
        <v/>
      </c>
    </row>
    <row r="96" customFormat="false" ht="15" hidden="false" customHeight="false" outlineLevel="0" collapsed="false">
      <c r="A96" s="26"/>
      <c r="B96" s="3"/>
      <c r="C96" s="3"/>
      <c r="D96" s="3"/>
      <c r="E96" s="3"/>
      <c r="F96" s="3"/>
      <c r="G96" s="29" t="str">
        <f aca="false">IF(OR(E96="",F96=""),"",F96-E96)</f>
        <v/>
      </c>
      <c r="H96" s="3"/>
      <c r="I96" s="3"/>
      <c r="J96" s="3"/>
      <c r="K96" s="3"/>
      <c r="L96" s="3"/>
      <c r="M96" s="27"/>
      <c r="N96" s="28" t="str">
        <f aca="false">IF(AND(F96&lt;&gt;"",C96="Fer 9 + putter",D96=9),COUNTIFS($C$5:C96,"Fer 9 + putter",$D$5:D96,9,$F$5:F96,"&lt;&gt;"),"")</f>
        <v/>
      </c>
    </row>
    <row r="97" customFormat="false" ht="15" hidden="false" customHeight="false" outlineLevel="0" collapsed="false">
      <c r="A97" s="26"/>
      <c r="B97" s="3"/>
      <c r="C97" s="3"/>
      <c r="D97" s="3"/>
      <c r="E97" s="3"/>
      <c r="F97" s="3"/>
      <c r="G97" s="29" t="str">
        <f aca="false">IF(OR(E97="",F97=""),"",F97-E97)</f>
        <v/>
      </c>
      <c r="H97" s="3"/>
      <c r="I97" s="3"/>
      <c r="J97" s="3"/>
      <c r="K97" s="3"/>
      <c r="L97" s="3"/>
      <c r="M97" s="27"/>
      <c r="N97" s="28" t="str">
        <f aca="false">IF(AND(F97&lt;&gt;"",C97="Fer 9 + putter",D97=9),COUNTIFS($C$5:C97,"Fer 9 + putter",$D$5:D97,9,$F$5:F97,"&lt;&gt;"),"")</f>
        <v/>
      </c>
    </row>
    <row r="98" customFormat="false" ht="15" hidden="false" customHeight="false" outlineLevel="0" collapsed="false">
      <c r="A98" s="26"/>
      <c r="B98" s="3"/>
      <c r="C98" s="3"/>
      <c r="D98" s="3"/>
      <c r="E98" s="3"/>
      <c r="F98" s="3"/>
      <c r="G98" s="29" t="str">
        <f aca="false">IF(OR(E98="",F98=""),"",F98-E98)</f>
        <v/>
      </c>
      <c r="H98" s="3"/>
      <c r="I98" s="3"/>
      <c r="J98" s="3"/>
      <c r="K98" s="3"/>
      <c r="L98" s="3"/>
      <c r="M98" s="27"/>
      <c r="N98" s="28" t="str">
        <f aca="false">IF(AND(F98&lt;&gt;"",C98="Fer 9 + putter",D98=9),COUNTIFS($C$5:C98,"Fer 9 + putter",$D$5:D98,9,$F$5:F98,"&lt;&gt;"),"")</f>
        <v/>
      </c>
    </row>
    <row r="99" customFormat="false" ht="15" hidden="false" customHeight="false" outlineLevel="0" collapsed="false">
      <c r="A99" s="26"/>
      <c r="B99" s="3"/>
      <c r="C99" s="3"/>
      <c r="D99" s="3"/>
      <c r="E99" s="3"/>
      <c r="F99" s="3"/>
      <c r="G99" s="29" t="str">
        <f aca="false">IF(OR(E99="",F99=""),"",F99-E99)</f>
        <v/>
      </c>
      <c r="H99" s="3"/>
      <c r="I99" s="3"/>
      <c r="J99" s="3"/>
      <c r="K99" s="3"/>
      <c r="L99" s="3"/>
      <c r="M99" s="27"/>
      <c r="N99" s="28" t="str">
        <f aca="false">IF(AND(F99&lt;&gt;"",C99="Fer 9 + putter",D99=9),COUNTIFS($C$5:C99,"Fer 9 + putter",$D$5:D99,9,$F$5:F99,"&lt;&gt;"),"")</f>
        <v/>
      </c>
    </row>
    <row r="100" customFormat="false" ht="15" hidden="false" customHeight="false" outlineLevel="0" collapsed="false">
      <c r="A100" s="26"/>
      <c r="B100" s="3"/>
      <c r="C100" s="3"/>
      <c r="D100" s="3"/>
      <c r="E100" s="3"/>
      <c r="F100" s="3"/>
      <c r="G100" s="29" t="str">
        <f aca="false">IF(OR(E100="",F100=""),"",F100-E100)</f>
        <v/>
      </c>
      <c r="H100" s="3"/>
      <c r="I100" s="3"/>
      <c r="J100" s="3"/>
      <c r="K100" s="3"/>
      <c r="L100" s="3"/>
      <c r="M100" s="27"/>
      <c r="N100" s="28" t="str">
        <f aca="false">IF(AND(F100&lt;&gt;"",C100="Fer 9 + putter",D100=9),COUNTIFS($C$5:C100,"Fer 9 + putter",$D$5:D100,9,$F$5:F100,"&lt;&gt;"),"")</f>
        <v/>
      </c>
    </row>
    <row r="101" customFormat="false" ht="15" hidden="false" customHeight="false" outlineLevel="0" collapsed="false">
      <c r="A101" s="26"/>
      <c r="B101" s="3"/>
      <c r="C101" s="3"/>
      <c r="D101" s="3"/>
      <c r="E101" s="3"/>
      <c r="F101" s="3"/>
      <c r="G101" s="29" t="str">
        <f aca="false">IF(OR(E101="",F101=""),"",F101-E101)</f>
        <v/>
      </c>
      <c r="H101" s="3"/>
      <c r="I101" s="3"/>
      <c r="J101" s="3"/>
      <c r="K101" s="3"/>
      <c r="L101" s="3"/>
      <c r="M101" s="27"/>
      <c r="N101" s="28" t="str">
        <f aca="false">IF(AND(F101&lt;&gt;"",C101="Fer 9 + putter",D101=9),COUNTIFS($C$5:C101,"Fer 9 + putter",$D$5:D101,9,$F$5:F101,"&lt;&gt;"),"")</f>
        <v/>
      </c>
    </row>
    <row r="102" customFormat="false" ht="15" hidden="false" customHeight="false" outlineLevel="0" collapsed="false">
      <c r="A102" s="26"/>
      <c r="B102" s="3"/>
      <c r="C102" s="3"/>
      <c r="D102" s="3"/>
      <c r="E102" s="3"/>
      <c r="F102" s="3"/>
      <c r="G102" s="29" t="str">
        <f aca="false">IF(OR(E102="",F102=""),"",F102-E102)</f>
        <v/>
      </c>
      <c r="H102" s="3"/>
      <c r="I102" s="3"/>
      <c r="J102" s="3"/>
      <c r="K102" s="3"/>
      <c r="L102" s="3"/>
      <c r="M102" s="27"/>
      <c r="N102" s="28" t="str">
        <f aca="false">IF(AND(F102&lt;&gt;"",C102="Fer 9 + putter",D102=9),COUNTIFS($C$5:C102,"Fer 9 + putter",$D$5:D102,9,$F$5:F102,"&lt;&gt;"),"")</f>
        <v/>
      </c>
    </row>
    <row r="103" customFormat="false" ht="15" hidden="false" customHeight="false" outlineLevel="0" collapsed="false">
      <c r="A103" s="26"/>
      <c r="B103" s="3"/>
      <c r="C103" s="3"/>
      <c r="D103" s="3"/>
      <c r="E103" s="3"/>
      <c r="F103" s="3"/>
      <c r="G103" s="29" t="str">
        <f aca="false">IF(OR(E103="",F103=""),"",F103-E103)</f>
        <v/>
      </c>
      <c r="H103" s="3"/>
      <c r="I103" s="3"/>
      <c r="J103" s="3"/>
      <c r="K103" s="3"/>
      <c r="L103" s="3"/>
      <c r="M103" s="27"/>
      <c r="N103" s="28" t="str">
        <f aca="false">IF(AND(F103&lt;&gt;"",C103="Fer 9 + putter",D103=9),COUNTIFS($C$5:C103,"Fer 9 + putter",$D$5:D103,9,$F$5:F103,"&lt;&gt;"),"")</f>
        <v/>
      </c>
    </row>
    <row r="104" customFormat="false" ht="15" hidden="false" customHeight="false" outlineLevel="0" collapsed="false">
      <c r="A104" s="26"/>
      <c r="B104" s="3"/>
      <c r="C104" s="3"/>
      <c r="D104" s="3"/>
      <c r="E104" s="3"/>
      <c r="F104" s="3"/>
      <c r="G104" s="29" t="str">
        <f aca="false">IF(OR(E104="",F104=""),"",F104-E104)</f>
        <v/>
      </c>
      <c r="H104" s="3"/>
      <c r="I104" s="3"/>
      <c r="J104" s="3"/>
      <c r="K104" s="3"/>
      <c r="L104" s="3"/>
      <c r="M104" s="27"/>
      <c r="N104" s="28" t="str">
        <f aca="false">IF(AND(F104&lt;&gt;"",C104="Fer 9 + putter",D104=9),COUNTIFS($C$5:C104,"Fer 9 + putter",$D$5:D104,9,$F$5:F104,"&lt;&gt;"),"")</f>
        <v/>
      </c>
    </row>
    <row r="105" customFormat="false" ht="15" hidden="false" customHeight="false" outlineLevel="0" collapsed="false">
      <c r="A105" s="26"/>
      <c r="B105" s="3"/>
      <c r="C105" s="3"/>
      <c r="D105" s="3"/>
      <c r="E105" s="3"/>
      <c r="F105" s="3"/>
      <c r="G105" s="29" t="str">
        <f aca="false">IF(OR(E105="",F105=""),"",F105-E105)</f>
        <v/>
      </c>
      <c r="H105" s="3"/>
      <c r="I105" s="3"/>
      <c r="J105" s="3"/>
      <c r="K105" s="3"/>
      <c r="L105" s="3"/>
      <c r="M105" s="27"/>
      <c r="N105" s="28" t="str">
        <f aca="false">IF(AND(F105&lt;&gt;"",C105="Fer 9 + putter",D105=9),COUNTIFS($C$5:C105,"Fer 9 + putter",$D$5:D105,9,$F$5:F105,"&lt;&gt;"),"")</f>
        <v/>
      </c>
    </row>
    <row r="106" customFormat="false" ht="15" hidden="false" customHeight="false" outlineLevel="0" collapsed="false">
      <c r="A106" s="26"/>
      <c r="B106" s="3"/>
      <c r="C106" s="3"/>
      <c r="D106" s="3"/>
      <c r="E106" s="3"/>
      <c r="F106" s="3"/>
      <c r="G106" s="29" t="str">
        <f aca="false">IF(OR(E106="",F106=""),"",F106-E106)</f>
        <v/>
      </c>
      <c r="H106" s="3"/>
      <c r="I106" s="3"/>
      <c r="J106" s="3"/>
      <c r="K106" s="3"/>
      <c r="L106" s="3"/>
      <c r="M106" s="27"/>
      <c r="N106" s="28" t="str">
        <f aca="false">IF(AND(F106&lt;&gt;"",C106="Fer 9 + putter",D106=9),COUNTIFS($C$5:C106,"Fer 9 + putter",$D$5:D106,9,$F$5:F106,"&lt;&gt;"),"")</f>
        <v/>
      </c>
    </row>
    <row r="107" customFormat="false" ht="15" hidden="false" customHeight="false" outlineLevel="0" collapsed="false">
      <c r="A107" s="26"/>
      <c r="B107" s="3"/>
      <c r="C107" s="3"/>
      <c r="D107" s="3"/>
      <c r="E107" s="3"/>
      <c r="F107" s="3"/>
      <c r="G107" s="29" t="str">
        <f aca="false">IF(OR(E107="",F107=""),"",F107-E107)</f>
        <v/>
      </c>
      <c r="H107" s="3"/>
      <c r="I107" s="3"/>
      <c r="J107" s="3"/>
      <c r="K107" s="3"/>
      <c r="L107" s="3"/>
      <c r="M107" s="27"/>
      <c r="N107" s="28" t="str">
        <f aca="false">IF(AND(F107&lt;&gt;"",C107="Fer 9 + putter",D107=9),COUNTIFS($C$5:C107,"Fer 9 + putter",$D$5:D107,9,$F$5:F107,"&lt;&gt;"),"")</f>
        <v/>
      </c>
    </row>
    <row r="108" customFormat="false" ht="15" hidden="false" customHeight="false" outlineLevel="0" collapsed="false">
      <c r="A108" s="26"/>
      <c r="B108" s="3"/>
      <c r="C108" s="3"/>
      <c r="D108" s="3"/>
      <c r="E108" s="3"/>
      <c r="F108" s="3"/>
      <c r="G108" s="29" t="str">
        <f aca="false">IF(OR(E108="",F108=""),"",F108-E108)</f>
        <v/>
      </c>
      <c r="H108" s="3"/>
      <c r="I108" s="3"/>
      <c r="J108" s="3"/>
      <c r="K108" s="3"/>
      <c r="L108" s="3"/>
      <c r="M108" s="27"/>
      <c r="N108" s="28" t="str">
        <f aca="false">IF(AND(F108&lt;&gt;"",C108="Fer 9 + putter",D108=9),COUNTIFS($C$5:C108,"Fer 9 + putter",$D$5:D108,9,$F$5:F108,"&lt;&gt;"),"")</f>
        <v/>
      </c>
    </row>
    <row r="109" customFormat="false" ht="15" hidden="false" customHeight="false" outlineLevel="0" collapsed="false">
      <c r="A109" s="26"/>
      <c r="B109" s="3"/>
      <c r="C109" s="3"/>
      <c r="D109" s="3"/>
      <c r="E109" s="3"/>
      <c r="F109" s="3"/>
      <c r="G109" s="29" t="str">
        <f aca="false">IF(OR(E109="",F109=""),"",F109-E109)</f>
        <v/>
      </c>
      <c r="H109" s="3"/>
      <c r="I109" s="3"/>
      <c r="J109" s="3"/>
      <c r="K109" s="3"/>
      <c r="L109" s="3"/>
      <c r="M109" s="27"/>
      <c r="N109" s="28" t="str">
        <f aca="false">IF(AND(F109&lt;&gt;"",C109="Fer 9 + putter",D109=9),COUNTIFS($C$5:C109,"Fer 9 + putter",$D$5:D109,9,$F$5:F109,"&lt;&gt;"),"")</f>
        <v/>
      </c>
    </row>
    <row r="110" customFormat="false" ht="15" hidden="false" customHeight="false" outlineLevel="0" collapsed="false">
      <c r="A110" s="26"/>
      <c r="B110" s="3"/>
      <c r="C110" s="3"/>
      <c r="D110" s="3"/>
      <c r="E110" s="3"/>
      <c r="F110" s="3"/>
      <c r="G110" s="29" t="str">
        <f aca="false">IF(OR(E110="",F110=""),"",F110-E110)</f>
        <v/>
      </c>
      <c r="H110" s="3"/>
      <c r="I110" s="3"/>
      <c r="J110" s="3"/>
      <c r="K110" s="3"/>
      <c r="L110" s="3"/>
      <c r="M110" s="27"/>
      <c r="N110" s="28" t="str">
        <f aca="false">IF(AND(F110&lt;&gt;"",C110="Fer 9 + putter",D110=9),COUNTIFS($C$5:C110,"Fer 9 + putter",$D$5:D110,9,$F$5:F110,"&lt;&gt;"),"")</f>
        <v/>
      </c>
    </row>
    <row r="111" customFormat="false" ht="15" hidden="false" customHeight="false" outlineLevel="0" collapsed="false">
      <c r="A111" s="26"/>
      <c r="B111" s="3"/>
      <c r="C111" s="3"/>
      <c r="D111" s="3"/>
      <c r="E111" s="3"/>
      <c r="F111" s="3"/>
      <c r="G111" s="29" t="str">
        <f aca="false">IF(OR(E111="",F111=""),"",F111-E111)</f>
        <v/>
      </c>
      <c r="H111" s="3"/>
      <c r="I111" s="3"/>
      <c r="J111" s="3"/>
      <c r="K111" s="3"/>
      <c r="L111" s="3"/>
      <c r="M111" s="27"/>
      <c r="N111" s="28" t="str">
        <f aca="false">IF(AND(F111&lt;&gt;"",C111="Fer 9 + putter",D111=9),COUNTIFS($C$5:C111,"Fer 9 + putter",$D$5:D111,9,$F$5:F111,"&lt;&gt;"),"")</f>
        <v/>
      </c>
    </row>
    <row r="112" customFormat="false" ht="15" hidden="false" customHeight="false" outlineLevel="0" collapsed="false">
      <c r="A112" s="26"/>
      <c r="B112" s="3"/>
      <c r="C112" s="3"/>
      <c r="D112" s="3"/>
      <c r="E112" s="3"/>
      <c r="F112" s="3"/>
      <c r="G112" s="29" t="str">
        <f aca="false">IF(OR(E112="",F112=""),"",F112-E112)</f>
        <v/>
      </c>
      <c r="H112" s="3"/>
      <c r="I112" s="3"/>
      <c r="J112" s="3"/>
      <c r="K112" s="3"/>
      <c r="L112" s="3"/>
      <c r="M112" s="27"/>
      <c r="N112" s="28" t="str">
        <f aca="false">IF(AND(F112&lt;&gt;"",C112="Fer 9 + putter",D112=9),COUNTIFS($C$5:C112,"Fer 9 + putter",$D$5:D112,9,$F$5:F112,"&lt;&gt;"),"")</f>
        <v/>
      </c>
    </row>
    <row r="113" customFormat="false" ht="15" hidden="false" customHeight="false" outlineLevel="0" collapsed="false">
      <c r="A113" s="26"/>
      <c r="B113" s="3"/>
      <c r="C113" s="3"/>
      <c r="D113" s="3"/>
      <c r="E113" s="3"/>
      <c r="F113" s="3"/>
      <c r="G113" s="29" t="str">
        <f aca="false">IF(OR(E113="",F113=""),"",F113-E113)</f>
        <v/>
      </c>
      <c r="H113" s="3"/>
      <c r="I113" s="3"/>
      <c r="J113" s="3"/>
      <c r="K113" s="3"/>
      <c r="L113" s="3"/>
      <c r="M113" s="27"/>
      <c r="N113" s="28" t="str">
        <f aca="false">IF(AND(F113&lt;&gt;"",C113="Fer 9 + putter",D113=9),COUNTIFS($C$5:C113,"Fer 9 + putter",$D$5:D113,9,$F$5:F113,"&lt;&gt;"),"")</f>
        <v/>
      </c>
    </row>
    <row r="114" customFormat="false" ht="15" hidden="false" customHeight="false" outlineLevel="0" collapsed="false">
      <c r="A114" s="26"/>
      <c r="B114" s="3"/>
      <c r="C114" s="3"/>
      <c r="D114" s="3"/>
      <c r="E114" s="3"/>
      <c r="F114" s="3"/>
      <c r="G114" s="29" t="str">
        <f aca="false">IF(OR(E114="",F114=""),"",F114-E114)</f>
        <v/>
      </c>
      <c r="H114" s="3"/>
      <c r="I114" s="3"/>
      <c r="J114" s="3"/>
      <c r="K114" s="3"/>
      <c r="L114" s="3"/>
      <c r="M114" s="27"/>
      <c r="N114" s="28" t="str">
        <f aca="false">IF(AND(F114&lt;&gt;"",C114="Fer 9 + putter",D114=9),COUNTIFS($C$5:C114,"Fer 9 + putter",$D$5:D114,9,$F$5:F114,"&lt;&gt;"),"")</f>
        <v/>
      </c>
    </row>
    <row r="115" customFormat="false" ht="15" hidden="false" customHeight="false" outlineLevel="0" collapsed="false">
      <c r="A115" s="26"/>
      <c r="B115" s="3"/>
      <c r="C115" s="3"/>
      <c r="D115" s="3"/>
      <c r="E115" s="3"/>
      <c r="F115" s="3"/>
      <c r="G115" s="29" t="str">
        <f aca="false">IF(OR(E115="",F115=""),"",F115-E115)</f>
        <v/>
      </c>
      <c r="H115" s="3"/>
      <c r="I115" s="3"/>
      <c r="J115" s="3"/>
      <c r="K115" s="3"/>
      <c r="L115" s="3"/>
      <c r="M115" s="27"/>
      <c r="N115" s="28" t="str">
        <f aca="false">IF(AND(F115&lt;&gt;"",C115="Fer 9 + putter",D115=9),COUNTIFS($C$5:C115,"Fer 9 + putter",$D$5:D115,9,$F$5:F115,"&lt;&gt;"),"")</f>
        <v/>
      </c>
    </row>
    <row r="116" customFormat="false" ht="15" hidden="false" customHeight="false" outlineLevel="0" collapsed="false">
      <c r="A116" s="26"/>
      <c r="B116" s="3"/>
      <c r="C116" s="3"/>
      <c r="D116" s="3"/>
      <c r="E116" s="3"/>
      <c r="F116" s="3"/>
      <c r="G116" s="29" t="str">
        <f aca="false">IF(OR(E116="",F116=""),"",F116-E116)</f>
        <v/>
      </c>
      <c r="H116" s="3"/>
      <c r="I116" s="3"/>
      <c r="J116" s="3"/>
      <c r="K116" s="3"/>
      <c r="L116" s="3"/>
      <c r="M116" s="27"/>
      <c r="N116" s="28" t="str">
        <f aca="false">IF(AND(F116&lt;&gt;"",C116="Fer 9 + putter",D116=9),COUNTIFS($C$5:C116,"Fer 9 + putter",$D$5:D116,9,$F$5:F116,"&lt;&gt;"),"")</f>
        <v/>
      </c>
    </row>
    <row r="117" customFormat="false" ht="15" hidden="false" customHeight="false" outlineLevel="0" collapsed="false">
      <c r="A117" s="26"/>
      <c r="B117" s="3"/>
      <c r="C117" s="3"/>
      <c r="D117" s="3"/>
      <c r="E117" s="3"/>
      <c r="F117" s="3"/>
      <c r="G117" s="29" t="str">
        <f aca="false">IF(OR(E117="",F117=""),"",F117-E117)</f>
        <v/>
      </c>
      <c r="H117" s="3"/>
      <c r="I117" s="3"/>
      <c r="J117" s="3"/>
      <c r="K117" s="3"/>
      <c r="L117" s="3"/>
      <c r="M117" s="27"/>
      <c r="N117" s="28" t="str">
        <f aca="false">IF(AND(F117&lt;&gt;"",C117="Fer 9 + putter",D117=9),COUNTIFS($C$5:C117,"Fer 9 + putter",$D$5:D117,9,$F$5:F117,"&lt;&gt;"),"")</f>
        <v/>
      </c>
    </row>
    <row r="118" customFormat="false" ht="15" hidden="false" customHeight="false" outlineLevel="0" collapsed="false">
      <c r="A118" s="26"/>
      <c r="B118" s="3"/>
      <c r="C118" s="3"/>
      <c r="D118" s="3"/>
      <c r="E118" s="3"/>
      <c r="F118" s="3"/>
      <c r="G118" s="29" t="str">
        <f aca="false">IF(OR(E118="",F118=""),"",F118-E118)</f>
        <v/>
      </c>
      <c r="H118" s="3"/>
      <c r="I118" s="3"/>
      <c r="J118" s="3"/>
      <c r="K118" s="3"/>
      <c r="L118" s="3"/>
      <c r="M118" s="27"/>
      <c r="N118" s="28" t="str">
        <f aca="false">IF(AND(F118&lt;&gt;"",C118="Fer 9 + putter",D118=9),COUNTIFS($C$5:C118,"Fer 9 + putter",$D$5:D118,9,$F$5:F118,"&lt;&gt;"),"")</f>
        <v/>
      </c>
    </row>
    <row r="119" customFormat="false" ht="15" hidden="false" customHeight="false" outlineLevel="0" collapsed="false">
      <c r="A119" s="26"/>
      <c r="B119" s="3"/>
      <c r="C119" s="3"/>
      <c r="D119" s="3"/>
      <c r="E119" s="3"/>
      <c r="F119" s="3"/>
      <c r="G119" s="29" t="str">
        <f aca="false">IF(OR(E119="",F119=""),"",F119-E119)</f>
        <v/>
      </c>
      <c r="H119" s="3"/>
      <c r="I119" s="3"/>
      <c r="J119" s="3"/>
      <c r="K119" s="3"/>
      <c r="L119" s="3"/>
      <c r="M119" s="27"/>
      <c r="N119" s="28" t="str">
        <f aca="false">IF(AND(F119&lt;&gt;"",C119="Fer 9 + putter",D119=9),COUNTIFS($C$5:C119,"Fer 9 + putter",$D$5:D119,9,$F$5:F119,"&lt;&gt;"),"")</f>
        <v/>
      </c>
    </row>
    <row r="120" customFormat="false" ht="15" hidden="false" customHeight="false" outlineLevel="0" collapsed="false">
      <c r="A120" s="26"/>
      <c r="B120" s="3"/>
      <c r="C120" s="3"/>
      <c r="D120" s="3"/>
      <c r="E120" s="3"/>
      <c r="F120" s="3"/>
      <c r="G120" s="29" t="str">
        <f aca="false">IF(OR(E120="",F120=""),"",F120-E120)</f>
        <v/>
      </c>
      <c r="H120" s="3"/>
      <c r="I120" s="3"/>
      <c r="J120" s="3"/>
      <c r="K120" s="3"/>
      <c r="L120" s="3"/>
      <c r="M120" s="27"/>
      <c r="N120" s="28" t="str">
        <f aca="false">IF(AND(F120&lt;&gt;"",C120="Fer 9 + putter",D120=9),COUNTIFS($C$5:C120,"Fer 9 + putter",$D$5:D120,9,$F$5:F120,"&lt;&gt;"),"")</f>
        <v/>
      </c>
    </row>
    <row r="121" customFormat="false" ht="15" hidden="false" customHeight="false" outlineLevel="0" collapsed="false">
      <c r="A121" s="26"/>
      <c r="B121" s="3"/>
      <c r="C121" s="3"/>
      <c r="D121" s="3"/>
      <c r="E121" s="3"/>
      <c r="F121" s="3"/>
      <c r="G121" s="29" t="str">
        <f aca="false">IF(OR(E121="",F121=""),"",F121-E121)</f>
        <v/>
      </c>
      <c r="H121" s="3"/>
      <c r="I121" s="3"/>
      <c r="J121" s="3"/>
      <c r="K121" s="3"/>
      <c r="L121" s="3"/>
      <c r="M121" s="27"/>
      <c r="N121" s="28" t="str">
        <f aca="false">IF(AND(F121&lt;&gt;"",C121="Fer 9 + putter",D121=9),COUNTIFS($C$5:C121,"Fer 9 + putter",$D$5:D121,9,$F$5:F121,"&lt;&gt;"),"")</f>
        <v/>
      </c>
    </row>
    <row r="122" customFormat="false" ht="15" hidden="false" customHeight="false" outlineLevel="0" collapsed="false">
      <c r="A122" s="26"/>
      <c r="B122" s="3"/>
      <c r="C122" s="3"/>
      <c r="D122" s="3"/>
      <c r="E122" s="3"/>
      <c r="F122" s="3"/>
      <c r="G122" s="29" t="str">
        <f aca="false">IF(OR(E122="",F122=""),"",F122-E122)</f>
        <v/>
      </c>
      <c r="H122" s="3"/>
      <c r="I122" s="3"/>
      <c r="J122" s="3"/>
      <c r="K122" s="3"/>
      <c r="L122" s="3"/>
      <c r="M122" s="27"/>
      <c r="N122" s="28" t="str">
        <f aca="false">IF(AND(F122&lt;&gt;"",C122="Fer 9 + putter",D122=9),COUNTIFS($C$5:C122,"Fer 9 + putter",$D$5:D122,9,$F$5:F122,"&lt;&gt;"),"")</f>
        <v/>
      </c>
    </row>
    <row r="123" customFormat="false" ht="15" hidden="false" customHeight="false" outlineLevel="0" collapsed="false">
      <c r="A123" s="26"/>
      <c r="B123" s="3"/>
      <c r="C123" s="3"/>
      <c r="D123" s="3"/>
      <c r="E123" s="3"/>
      <c r="F123" s="3"/>
      <c r="G123" s="29" t="str">
        <f aca="false">IF(OR(E123="",F123=""),"",F123-E123)</f>
        <v/>
      </c>
      <c r="H123" s="3"/>
      <c r="I123" s="3"/>
      <c r="J123" s="3"/>
      <c r="K123" s="3"/>
      <c r="L123" s="3"/>
      <c r="M123" s="27"/>
      <c r="N123" s="28" t="str">
        <f aca="false">IF(AND(F123&lt;&gt;"",C123="Fer 9 + putter",D123=9),COUNTIFS($C$5:C123,"Fer 9 + putter",$D$5:D123,9,$F$5:F123,"&lt;&gt;"),"")</f>
        <v/>
      </c>
    </row>
    <row r="124" customFormat="false" ht="15" hidden="false" customHeight="false" outlineLevel="0" collapsed="false">
      <c r="A124" s="26"/>
      <c r="B124" s="3"/>
      <c r="C124" s="3"/>
      <c r="D124" s="3"/>
      <c r="E124" s="3"/>
      <c r="F124" s="3"/>
      <c r="G124" s="29" t="str">
        <f aca="false">IF(OR(E124="",F124=""),"",F124-E124)</f>
        <v/>
      </c>
      <c r="H124" s="3"/>
      <c r="I124" s="3"/>
      <c r="J124" s="3"/>
      <c r="K124" s="3"/>
      <c r="L124" s="3"/>
      <c r="M124" s="27"/>
      <c r="N124" s="28" t="str">
        <f aca="false">IF(AND(F124&lt;&gt;"",C124="Fer 9 + putter",D124=9),COUNTIFS($C$5:C124,"Fer 9 + putter",$D$5:D124,9,$F$5:F124,"&lt;&gt;"),"")</f>
        <v/>
      </c>
    </row>
    <row r="125" customFormat="false" ht="15" hidden="false" customHeight="false" outlineLevel="0" collapsed="false">
      <c r="A125" s="26"/>
      <c r="B125" s="3"/>
      <c r="C125" s="3"/>
      <c r="D125" s="3"/>
      <c r="E125" s="3"/>
      <c r="F125" s="3"/>
      <c r="G125" s="29" t="str">
        <f aca="false">IF(OR(E125="",F125=""),"",F125-E125)</f>
        <v/>
      </c>
      <c r="H125" s="3"/>
      <c r="I125" s="3"/>
      <c r="J125" s="3"/>
      <c r="K125" s="3"/>
      <c r="L125" s="3"/>
      <c r="M125" s="27"/>
      <c r="N125" s="28" t="str">
        <f aca="false">IF(AND(F125&lt;&gt;"",C125="Fer 9 + putter",D125=9),COUNTIFS($C$5:C125,"Fer 9 + putter",$D$5:D125,9,$F$5:F125,"&lt;&gt;"),"")</f>
        <v/>
      </c>
    </row>
    <row r="126" customFormat="false" ht="15" hidden="false" customHeight="false" outlineLevel="0" collapsed="false">
      <c r="A126" s="26"/>
      <c r="B126" s="3"/>
      <c r="C126" s="3"/>
      <c r="D126" s="3"/>
      <c r="E126" s="3"/>
      <c r="F126" s="3"/>
      <c r="G126" s="29" t="str">
        <f aca="false">IF(OR(E126="",F126=""),"",F126-E126)</f>
        <v/>
      </c>
      <c r="H126" s="3"/>
      <c r="I126" s="3"/>
      <c r="J126" s="3"/>
      <c r="K126" s="3"/>
      <c r="L126" s="3"/>
      <c r="M126" s="27"/>
      <c r="N126" s="28" t="str">
        <f aca="false">IF(AND(F126&lt;&gt;"",C126="Fer 9 + putter",D126=9),COUNTIFS($C$5:C126,"Fer 9 + putter",$D$5:D126,9,$F$5:F126,"&lt;&gt;"),"")</f>
        <v/>
      </c>
    </row>
    <row r="127" customFormat="false" ht="15" hidden="false" customHeight="false" outlineLevel="0" collapsed="false">
      <c r="A127" s="26"/>
      <c r="B127" s="3"/>
      <c r="C127" s="3"/>
      <c r="D127" s="3"/>
      <c r="E127" s="3"/>
      <c r="F127" s="3"/>
      <c r="G127" s="29" t="str">
        <f aca="false">IF(OR(E127="",F127=""),"",F127-E127)</f>
        <v/>
      </c>
      <c r="H127" s="3"/>
      <c r="I127" s="3"/>
      <c r="J127" s="3"/>
      <c r="K127" s="3"/>
      <c r="L127" s="3"/>
      <c r="M127" s="27"/>
      <c r="N127" s="28" t="str">
        <f aca="false">IF(AND(F127&lt;&gt;"",C127="Fer 9 + putter",D127=9),COUNTIFS($C$5:C127,"Fer 9 + putter",$D$5:D127,9,$F$5:F127,"&lt;&gt;"),"")</f>
        <v/>
      </c>
    </row>
    <row r="128" customFormat="false" ht="15" hidden="false" customHeight="false" outlineLevel="0" collapsed="false">
      <c r="A128" s="26"/>
      <c r="B128" s="3"/>
      <c r="C128" s="3"/>
      <c r="D128" s="3"/>
      <c r="E128" s="3"/>
      <c r="F128" s="3"/>
      <c r="G128" s="29" t="str">
        <f aca="false">IF(OR(E128="",F128=""),"",F128-E128)</f>
        <v/>
      </c>
      <c r="H128" s="3"/>
      <c r="I128" s="3"/>
      <c r="J128" s="3"/>
      <c r="K128" s="3"/>
      <c r="L128" s="3"/>
      <c r="M128" s="27"/>
      <c r="N128" s="28" t="str">
        <f aca="false">IF(AND(F128&lt;&gt;"",C128="Fer 9 + putter",D128=9),COUNTIFS($C$5:C128,"Fer 9 + putter",$D$5:D128,9,$F$5:F128,"&lt;&gt;"),"")</f>
        <v/>
      </c>
    </row>
    <row r="129" customFormat="false" ht="15" hidden="false" customHeight="false" outlineLevel="0" collapsed="false">
      <c r="A129" s="26"/>
      <c r="B129" s="3"/>
      <c r="C129" s="3"/>
      <c r="D129" s="3"/>
      <c r="E129" s="3"/>
      <c r="F129" s="3"/>
      <c r="G129" s="29" t="str">
        <f aca="false">IF(OR(E129="",F129=""),"",F129-E129)</f>
        <v/>
      </c>
      <c r="H129" s="3"/>
      <c r="I129" s="3"/>
      <c r="J129" s="3"/>
      <c r="K129" s="3"/>
      <c r="L129" s="3"/>
      <c r="M129" s="27"/>
      <c r="N129" s="28" t="str">
        <f aca="false">IF(AND(F129&lt;&gt;"",C129="Fer 9 + putter",D129=9),COUNTIFS($C$5:C129,"Fer 9 + putter",$D$5:D129,9,$F$5:F129,"&lt;&gt;"),"")</f>
        <v/>
      </c>
    </row>
    <row r="130" customFormat="false" ht="15" hidden="false" customHeight="false" outlineLevel="0" collapsed="false">
      <c r="A130" s="26"/>
      <c r="B130" s="3"/>
      <c r="C130" s="3"/>
      <c r="D130" s="3"/>
      <c r="E130" s="3"/>
      <c r="F130" s="3"/>
      <c r="G130" s="29" t="str">
        <f aca="false">IF(OR(E130="",F130=""),"",F130-E130)</f>
        <v/>
      </c>
      <c r="H130" s="3"/>
      <c r="I130" s="3"/>
      <c r="J130" s="3"/>
      <c r="K130" s="3"/>
      <c r="L130" s="3"/>
      <c r="M130" s="27"/>
      <c r="N130" s="28" t="str">
        <f aca="false">IF(AND(F130&lt;&gt;"",C130="Fer 9 + putter",D130=9),COUNTIFS($C$5:C130,"Fer 9 + putter",$D$5:D130,9,$F$5:F130,"&lt;&gt;"),"")</f>
        <v/>
      </c>
    </row>
    <row r="131" customFormat="false" ht="15" hidden="false" customHeight="false" outlineLevel="0" collapsed="false">
      <c r="A131" s="26"/>
      <c r="B131" s="3"/>
      <c r="C131" s="3"/>
      <c r="D131" s="3"/>
      <c r="E131" s="3"/>
      <c r="F131" s="3"/>
      <c r="G131" s="29" t="str">
        <f aca="false">IF(OR(E131="",F131=""),"",F131-E131)</f>
        <v/>
      </c>
      <c r="H131" s="3"/>
      <c r="I131" s="3"/>
      <c r="J131" s="3"/>
      <c r="K131" s="3"/>
      <c r="L131" s="3"/>
      <c r="M131" s="27"/>
      <c r="N131" s="28" t="str">
        <f aca="false">IF(AND(F131&lt;&gt;"",C131="Fer 9 + putter",D131=9),COUNTIFS($C$5:C131,"Fer 9 + putter",$D$5:D131,9,$F$5:F131,"&lt;&gt;"),"")</f>
        <v/>
      </c>
    </row>
    <row r="132" customFormat="false" ht="15" hidden="false" customHeight="false" outlineLevel="0" collapsed="false">
      <c r="A132" s="26"/>
      <c r="B132" s="3"/>
      <c r="C132" s="3"/>
      <c r="D132" s="3"/>
      <c r="E132" s="3"/>
      <c r="F132" s="3"/>
      <c r="G132" s="29" t="str">
        <f aca="false">IF(OR(E132="",F132=""),"",F132-E132)</f>
        <v/>
      </c>
      <c r="H132" s="3"/>
      <c r="I132" s="3"/>
      <c r="J132" s="3"/>
      <c r="K132" s="3"/>
      <c r="L132" s="3"/>
      <c r="M132" s="27"/>
      <c r="N132" s="28" t="str">
        <f aca="false">IF(AND(F132&lt;&gt;"",C132="Fer 9 + putter",D132=9),COUNTIFS($C$5:C132,"Fer 9 + putter",$D$5:D132,9,$F$5:F132,"&lt;&gt;"),"")</f>
        <v/>
      </c>
    </row>
    <row r="133" customFormat="false" ht="15" hidden="false" customHeight="false" outlineLevel="0" collapsed="false">
      <c r="A133" s="26"/>
      <c r="B133" s="3"/>
      <c r="C133" s="3"/>
      <c r="D133" s="3"/>
      <c r="E133" s="3"/>
      <c r="F133" s="3"/>
      <c r="G133" s="29" t="str">
        <f aca="false">IF(OR(E133="",F133=""),"",F133-E133)</f>
        <v/>
      </c>
      <c r="H133" s="3"/>
      <c r="I133" s="3"/>
      <c r="J133" s="3"/>
      <c r="K133" s="3"/>
      <c r="L133" s="3"/>
      <c r="M133" s="27"/>
      <c r="N133" s="28" t="str">
        <f aca="false">IF(AND(F133&lt;&gt;"",C133="Fer 9 + putter",D133=9),COUNTIFS($C$5:C133,"Fer 9 + putter",$D$5:D133,9,$F$5:F133,"&lt;&gt;"),"")</f>
        <v/>
      </c>
    </row>
    <row r="134" customFormat="false" ht="15" hidden="false" customHeight="false" outlineLevel="0" collapsed="false">
      <c r="A134" s="26"/>
      <c r="B134" s="3"/>
      <c r="C134" s="3"/>
      <c r="D134" s="3"/>
      <c r="E134" s="3"/>
      <c r="F134" s="3"/>
      <c r="G134" s="29" t="str">
        <f aca="false">IF(OR(E134="",F134=""),"",F134-E134)</f>
        <v/>
      </c>
      <c r="H134" s="3"/>
      <c r="I134" s="3"/>
      <c r="J134" s="3"/>
      <c r="K134" s="3"/>
      <c r="L134" s="3"/>
      <c r="M134" s="27"/>
      <c r="N134" s="28" t="str">
        <f aca="false">IF(AND(F134&lt;&gt;"",C134="Fer 9 + putter",D134=9),COUNTIFS($C$5:C134,"Fer 9 + putter",$D$5:D134,9,$F$5:F134,"&lt;&gt;"),"")</f>
        <v/>
      </c>
    </row>
    <row r="135" customFormat="false" ht="15" hidden="false" customHeight="false" outlineLevel="0" collapsed="false">
      <c r="A135" s="26"/>
      <c r="B135" s="3"/>
      <c r="C135" s="3"/>
      <c r="D135" s="3"/>
      <c r="E135" s="3"/>
      <c r="F135" s="3"/>
      <c r="G135" s="29" t="str">
        <f aca="false">IF(OR(E135="",F135=""),"",F135-E135)</f>
        <v/>
      </c>
      <c r="H135" s="3"/>
      <c r="I135" s="3"/>
      <c r="J135" s="3"/>
      <c r="K135" s="3"/>
      <c r="L135" s="3"/>
      <c r="M135" s="27"/>
      <c r="N135" s="28" t="str">
        <f aca="false">IF(AND(F135&lt;&gt;"",C135="Fer 9 + putter",D135=9),COUNTIFS($C$5:C135,"Fer 9 + putter",$D$5:D135,9,$F$5:F135,"&lt;&gt;"),"")</f>
        <v/>
      </c>
    </row>
    <row r="136" customFormat="false" ht="15" hidden="false" customHeight="false" outlineLevel="0" collapsed="false">
      <c r="A136" s="26"/>
      <c r="B136" s="3"/>
      <c r="C136" s="3"/>
      <c r="D136" s="3"/>
      <c r="E136" s="3"/>
      <c r="F136" s="3"/>
      <c r="G136" s="29" t="str">
        <f aca="false">IF(OR(E136="",F136=""),"",F136-E136)</f>
        <v/>
      </c>
      <c r="H136" s="3"/>
      <c r="I136" s="3"/>
      <c r="J136" s="3"/>
      <c r="K136" s="3"/>
      <c r="L136" s="3"/>
      <c r="M136" s="27"/>
      <c r="N136" s="28" t="str">
        <f aca="false">IF(AND(F136&lt;&gt;"",C136="Fer 9 + putter",D136=9),COUNTIFS($C$5:C136,"Fer 9 + putter",$D$5:D136,9,$F$5:F136,"&lt;&gt;"),"")</f>
        <v/>
      </c>
    </row>
    <row r="137" customFormat="false" ht="15" hidden="false" customHeight="false" outlineLevel="0" collapsed="false">
      <c r="A137" s="26"/>
      <c r="B137" s="3"/>
      <c r="C137" s="3"/>
      <c r="D137" s="3"/>
      <c r="E137" s="3"/>
      <c r="F137" s="3"/>
      <c r="G137" s="29" t="str">
        <f aca="false">IF(OR(E137="",F137=""),"",F137-E137)</f>
        <v/>
      </c>
      <c r="H137" s="3"/>
      <c r="I137" s="3"/>
      <c r="J137" s="3"/>
      <c r="K137" s="3"/>
      <c r="L137" s="3"/>
      <c r="M137" s="27"/>
      <c r="N137" s="28" t="str">
        <f aca="false">IF(AND(F137&lt;&gt;"",C137="Fer 9 + putter",D137=9),COUNTIFS($C$5:C137,"Fer 9 + putter",$D$5:D137,9,$F$5:F137,"&lt;&gt;"),"")</f>
        <v/>
      </c>
    </row>
    <row r="138" customFormat="false" ht="15" hidden="false" customHeight="false" outlineLevel="0" collapsed="false">
      <c r="A138" s="26"/>
      <c r="B138" s="3"/>
      <c r="C138" s="3"/>
      <c r="D138" s="3"/>
      <c r="E138" s="3"/>
      <c r="F138" s="3"/>
      <c r="G138" s="29" t="str">
        <f aca="false">IF(OR(E138="",F138=""),"",F138-E138)</f>
        <v/>
      </c>
      <c r="H138" s="3"/>
      <c r="I138" s="3"/>
      <c r="J138" s="3"/>
      <c r="K138" s="3"/>
      <c r="L138" s="3"/>
      <c r="M138" s="27"/>
      <c r="N138" s="28" t="str">
        <f aca="false">IF(AND(F138&lt;&gt;"",C138="Fer 9 + putter",D138=9),COUNTIFS($C$5:C138,"Fer 9 + putter",$D$5:D138,9,$F$5:F138,"&lt;&gt;"),"")</f>
        <v/>
      </c>
    </row>
    <row r="139" customFormat="false" ht="15" hidden="false" customHeight="false" outlineLevel="0" collapsed="false">
      <c r="A139" s="26"/>
      <c r="B139" s="3"/>
      <c r="C139" s="3"/>
      <c r="D139" s="3"/>
      <c r="E139" s="3"/>
      <c r="F139" s="3"/>
      <c r="G139" s="29" t="str">
        <f aca="false">IF(OR(E139="",F139=""),"",F139-E139)</f>
        <v/>
      </c>
      <c r="H139" s="3"/>
      <c r="I139" s="3"/>
      <c r="J139" s="3"/>
      <c r="K139" s="3"/>
      <c r="L139" s="3"/>
      <c r="M139" s="27"/>
      <c r="N139" s="28" t="str">
        <f aca="false">IF(AND(F139&lt;&gt;"",C139="Fer 9 + putter",D139=9),COUNTIFS($C$5:C139,"Fer 9 + putter",$D$5:D139,9,$F$5:F139,"&lt;&gt;"),"")</f>
        <v/>
      </c>
    </row>
    <row r="140" customFormat="false" ht="15" hidden="false" customHeight="false" outlineLevel="0" collapsed="false">
      <c r="A140" s="26"/>
      <c r="B140" s="3"/>
      <c r="C140" s="3"/>
      <c r="D140" s="3"/>
      <c r="E140" s="3"/>
      <c r="F140" s="3"/>
      <c r="G140" s="29" t="str">
        <f aca="false">IF(OR(E140="",F140=""),"",F140-E140)</f>
        <v/>
      </c>
      <c r="H140" s="3"/>
      <c r="I140" s="3"/>
      <c r="J140" s="3"/>
      <c r="K140" s="3"/>
      <c r="L140" s="3"/>
      <c r="M140" s="27"/>
      <c r="N140" s="28" t="str">
        <f aca="false">IF(AND(F140&lt;&gt;"",C140="Fer 9 + putter",D140=9),COUNTIFS($C$5:C140,"Fer 9 + putter",$D$5:D140,9,$F$5:F140,"&lt;&gt;"),"")</f>
        <v/>
      </c>
    </row>
    <row r="141" customFormat="false" ht="15" hidden="false" customHeight="false" outlineLevel="0" collapsed="false">
      <c r="A141" s="26"/>
      <c r="B141" s="3"/>
      <c r="C141" s="3"/>
      <c r="D141" s="3"/>
      <c r="E141" s="3"/>
      <c r="F141" s="3"/>
      <c r="G141" s="29" t="str">
        <f aca="false">IF(OR(E141="",F141=""),"",F141-E141)</f>
        <v/>
      </c>
      <c r="H141" s="3"/>
      <c r="I141" s="3"/>
      <c r="J141" s="3"/>
      <c r="K141" s="3"/>
      <c r="L141" s="3"/>
      <c r="M141" s="27"/>
      <c r="N141" s="28" t="str">
        <f aca="false">IF(AND(F141&lt;&gt;"",C141="Fer 9 + putter",D141=9),COUNTIFS($C$5:C141,"Fer 9 + putter",$D$5:D141,9,$F$5:F141,"&lt;&gt;"),"")</f>
        <v/>
      </c>
    </row>
    <row r="142" customFormat="false" ht="15" hidden="false" customHeight="false" outlineLevel="0" collapsed="false">
      <c r="A142" s="26"/>
      <c r="B142" s="3"/>
      <c r="C142" s="3"/>
      <c r="D142" s="3"/>
      <c r="E142" s="3"/>
      <c r="F142" s="3"/>
      <c r="G142" s="29" t="str">
        <f aca="false">IF(OR(E142="",F142=""),"",F142-E142)</f>
        <v/>
      </c>
      <c r="H142" s="3"/>
      <c r="I142" s="3"/>
      <c r="J142" s="3"/>
      <c r="K142" s="3"/>
      <c r="L142" s="3"/>
      <c r="M142" s="27"/>
      <c r="N142" s="28" t="str">
        <f aca="false">IF(AND(F142&lt;&gt;"",C142="Fer 9 + putter",D142=9),COUNTIFS($C$5:C142,"Fer 9 + putter",$D$5:D142,9,$F$5:F142,"&lt;&gt;"),"")</f>
        <v/>
      </c>
    </row>
    <row r="143" customFormat="false" ht="15" hidden="false" customHeight="false" outlineLevel="0" collapsed="false">
      <c r="A143" s="26"/>
      <c r="B143" s="3"/>
      <c r="C143" s="3"/>
      <c r="D143" s="3"/>
      <c r="E143" s="3"/>
      <c r="F143" s="3"/>
      <c r="G143" s="29" t="str">
        <f aca="false">IF(OR(E143="",F143=""),"",F143-E143)</f>
        <v/>
      </c>
      <c r="H143" s="3"/>
      <c r="I143" s="3"/>
      <c r="J143" s="3"/>
      <c r="K143" s="3"/>
      <c r="L143" s="3"/>
      <c r="M143" s="27"/>
      <c r="N143" s="28" t="str">
        <f aca="false">IF(AND(F143&lt;&gt;"",C143="Fer 9 + putter",D143=9),COUNTIFS($C$5:C143,"Fer 9 + putter",$D$5:D143,9,$F$5:F143,"&lt;&gt;"),"")</f>
        <v/>
      </c>
    </row>
    <row r="144" customFormat="false" ht="15" hidden="false" customHeight="false" outlineLevel="0" collapsed="false">
      <c r="A144" s="26"/>
      <c r="B144" s="3"/>
      <c r="C144" s="3"/>
      <c r="D144" s="3"/>
      <c r="E144" s="3"/>
      <c r="F144" s="3"/>
      <c r="G144" s="29" t="str">
        <f aca="false">IF(OR(E144="",F144=""),"",F144-E144)</f>
        <v/>
      </c>
      <c r="H144" s="3"/>
      <c r="I144" s="3"/>
      <c r="J144" s="3"/>
      <c r="K144" s="3"/>
      <c r="L144" s="3"/>
      <c r="M144" s="27"/>
      <c r="N144" s="28" t="str">
        <f aca="false">IF(AND(F144&lt;&gt;"",C144="Fer 9 + putter",D144=9),COUNTIFS($C$5:C144,"Fer 9 + putter",$D$5:D144,9,$F$5:F144,"&lt;&gt;"),"")</f>
        <v/>
      </c>
    </row>
    <row r="145" customFormat="false" ht="15" hidden="false" customHeight="false" outlineLevel="0" collapsed="false">
      <c r="A145" s="26"/>
      <c r="B145" s="3"/>
      <c r="C145" s="3"/>
      <c r="D145" s="3"/>
      <c r="E145" s="3"/>
      <c r="F145" s="3"/>
      <c r="G145" s="29" t="str">
        <f aca="false">IF(OR(E145="",F145=""),"",F145-E145)</f>
        <v/>
      </c>
      <c r="H145" s="3"/>
      <c r="I145" s="3"/>
      <c r="J145" s="3"/>
      <c r="K145" s="3"/>
      <c r="L145" s="3"/>
      <c r="M145" s="27"/>
      <c r="N145" s="28" t="str">
        <f aca="false">IF(AND(F145&lt;&gt;"",C145="Fer 9 + putter",D145=9),COUNTIFS($C$5:C145,"Fer 9 + putter",$D$5:D145,9,$F$5:F145,"&lt;&gt;"),"")</f>
        <v/>
      </c>
    </row>
    <row r="146" customFormat="false" ht="15" hidden="false" customHeight="false" outlineLevel="0" collapsed="false">
      <c r="A146" s="26"/>
      <c r="B146" s="3"/>
      <c r="C146" s="3"/>
      <c r="D146" s="3"/>
      <c r="E146" s="3"/>
      <c r="F146" s="3"/>
      <c r="G146" s="29" t="str">
        <f aca="false">IF(OR(E146="",F146=""),"",F146-E146)</f>
        <v/>
      </c>
      <c r="H146" s="3"/>
      <c r="I146" s="3"/>
      <c r="J146" s="3"/>
      <c r="K146" s="3"/>
      <c r="L146" s="3"/>
      <c r="M146" s="27"/>
      <c r="N146" s="28" t="str">
        <f aca="false">IF(AND(F146&lt;&gt;"",C146="Fer 9 + putter",D146=9),COUNTIFS($C$5:C146,"Fer 9 + putter",$D$5:D146,9,$F$5:F146,"&lt;&gt;"),"")</f>
        <v/>
      </c>
    </row>
    <row r="147" customFormat="false" ht="15" hidden="false" customHeight="false" outlineLevel="0" collapsed="false">
      <c r="A147" s="26"/>
      <c r="B147" s="3"/>
      <c r="C147" s="3"/>
      <c r="D147" s="3"/>
      <c r="E147" s="3"/>
      <c r="F147" s="3"/>
      <c r="G147" s="29" t="str">
        <f aca="false">IF(OR(E147="",F147=""),"",F147-E147)</f>
        <v/>
      </c>
      <c r="H147" s="3"/>
      <c r="I147" s="3"/>
      <c r="J147" s="3"/>
      <c r="K147" s="3"/>
      <c r="L147" s="3"/>
      <c r="M147" s="27"/>
      <c r="N147" s="28" t="str">
        <f aca="false">IF(AND(F147&lt;&gt;"",C147="Fer 9 + putter",D147=9),COUNTIFS($C$5:C147,"Fer 9 + putter",$D$5:D147,9,$F$5:F147,"&lt;&gt;"),"")</f>
        <v/>
      </c>
    </row>
    <row r="148" customFormat="false" ht="15" hidden="false" customHeight="false" outlineLevel="0" collapsed="false">
      <c r="A148" s="26"/>
      <c r="B148" s="3"/>
      <c r="C148" s="3"/>
      <c r="D148" s="3"/>
      <c r="E148" s="3"/>
      <c r="F148" s="3"/>
      <c r="G148" s="29" t="str">
        <f aca="false">IF(OR(E148="",F148=""),"",F148-E148)</f>
        <v/>
      </c>
      <c r="H148" s="3"/>
      <c r="I148" s="3"/>
      <c r="J148" s="3"/>
      <c r="K148" s="3"/>
      <c r="L148" s="3"/>
      <c r="M148" s="27"/>
      <c r="N148" s="28" t="str">
        <f aca="false">IF(AND(F148&lt;&gt;"",C148="Fer 9 + putter",D148=9),COUNTIFS($C$5:C148,"Fer 9 + putter",$D$5:D148,9,$F$5:F148,"&lt;&gt;"),"")</f>
        <v/>
      </c>
    </row>
    <row r="149" customFormat="false" ht="15" hidden="false" customHeight="false" outlineLevel="0" collapsed="false">
      <c r="A149" s="26"/>
      <c r="B149" s="3"/>
      <c r="C149" s="3"/>
      <c r="D149" s="3"/>
      <c r="E149" s="3"/>
      <c r="F149" s="3"/>
      <c r="G149" s="29" t="str">
        <f aca="false">IF(OR(E149="",F149=""),"",F149-E149)</f>
        <v/>
      </c>
      <c r="H149" s="3"/>
      <c r="I149" s="3"/>
      <c r="J149" s="3"/>
      <c r="K149" s="3"/>
      <c r="L149" s="3"/>
      <c r="M149" s="27"/>
      <c r="N149" s="28" t="str">
        <f aca="false">IF(AND(F149&lt;&gt;"",C149="Fer 9 + putter",D149=9),COUNTIFS($C$5:C149,"Fer 9 + putter",$D$5:D149,9,$F$5:F149,"&lt;&gt;"),"")</f>
        <v/>
      </c>
    </row>
    <row r="150" customFormat="false" ht="15" hidden="false" customHeight="false" outlineLevel="0" collapsed="false">
      <c r="A150" s="26"/>
      <c r="B150" s="3"/>
      <c r="C150" s="3"/>
      <c r="D150" s="3"/>
      <c r="E150" s="3"/>
      <c r="F150" s="3"/>
      <c r="G150" s="29" t="str">
        <f aca="false">IF(OR(E150="",F150=""),"",F150-E150)</f>
        <v/>
      </c>
      <c r="H150" s="3"/>
      <c r="I150" s="3"/>
      <c r="J150" s="3"/>
      <c r="K150" s="3"/>
      <c r="L150" s="3"/>
      <c r="M150" s="27"/>
      <c r="N150" s="28" t="str">
        <f aca="false">IF(AND(F150&lt;&gt;"",C150="Fer 9 + putter",D150=9),COUNTIFS($C$5:C150,"Fer 9 + putter",$D$5:D150,9,$F$5:F150,"&lt;&gt;"),"")</f>
        <v/>
      </c>
    </row>
    <row r="151" customFormat="false" ht="15" hidden="false" customHeight="false" outlineLevel="0" collapsed="false">
      <c r="A151" s="26"/>
      <c r="B151" s="3"/>
      <c r="C151" s="3"/>
      <c r="D151" s="3"/>
      <c r="E151" s="3"/>
      <c r="F151" s="3"/>
      <c r="G151" s="29" t="str">
        <f aca="false">IF(OR(E151="",F151=""),"",F151-E151)</f>
        <v/>
      </c>
      <c r="H151" s="3"/>
      <c r="I151" s="3"/>
      <c r="J151" s="3"/>
      <c r="K151" s="3"/>
      <c r="L151" s="3"/>
      <c r="M151" s="27"/>
      <c r="N151" s="28" t="str">
        <f aca="false">IF(AND(F151&lt;&gt;"",C151="Fer 9 + putter",D151=9),COUNTIFS($C$5:C151,"Fer 9 + putter",$D$5:D151,9,$F$5:F151,"&lt;&gt;"),"")</f>
        <v/>
      </c>
    </row>
    <row r="152" customFormat="false" ht="15" hidden="false" customHeight="false" outlineLevel="0" collapsed="false">
      <c r="A152" s="26"/>
      <c r="B152" s="3"/>
      <c r="C152" s="3"/>
      <c r="D152" s="3"/>
      <c r="E152" s="3"/>
      <c r="F152" s="3"/>
      <c r="G152" s="29" t="str">
        <f aca="false">IF(OR(E152="",F152=""),"",F152-E152)</f>
        <v/>
      </c>
      <c r="H152" s="3"/>
      <c r="I152" s="3"/>
      <c r="J152" s="3"/>
      <c r="K152" s="3"/>
      <c r="L152" s="3"/>
      <c r="M152" s="27"/>
      <c r="N152" s="28" t="str">
        <f aca="false">IF(AND(F152&lt;&gt;"",C152="Fer 9 + putter",D152=9),COUNTIFS($C$5:C152,"Fer 9 + putter",$D$5:D152,9,$F$5:F152,"&lt;&gt;"),"")</f>
        <v/>
      </c>
    </row>
    <row r="153" customFormat="false" ht="15" hidden="false" customHeight="false" outlineLevel="0" collapsed="false">
      <c r="A153" s="26"/>
      <c r="B153" s="3"/>
      <c r="C153" s="3"/>
      <c r="D153" s="3"/>
      <c r="E153" s="3"/>
      <c r="F153" s="3"/>
      <c r="G153" s="29" t="str">
        <f aca="false">IF(OR(E153="",F153=""),"",F153-E153)</f>
        <v/>
      </c>
      <c r="H153" s="3"/>
      <c r="I153" s="3"/>
      <c r="J153" s="3"/>
      <c r="K153" s="3"/>
      <c r="L153" s="3"/>
      <c r="M153" s="27"/>
      <c r="N153" s="28" t="str">
        <f aca="false">IF(AND(F153&lt;&gt;"",C153="Fer 9 + putter",D153=9),COUNTIFS($C$5:C153,"Fer 9 + putter",$D$5:D153,9,$F$5:F153,"&lt;&gt;"),"")</f>
        <v/>
      </c>
    </row>
    <row r="154" customFormat="false" ht="15" hidden="false" customHeight="false" outlineLevel="0" collapsed="false">
      <c r="A154" s="26"/>
      <c r="B154" s="3"/>
      <c r="C154" s="3"/>
      <c r="D154" s="3"/>
      <c r="E154" s="3"/>
      <c r="F154" s="3"/>
      <c r="G154" s="29" t="str">
        <f aca="false">IF(OR(E154="",F154=""),"",F154-E154)</f>
        <v/>
      </c>
      <c r="H154" s="3"/>
      <c r="I154" s="3"/>
      <c r="J154" s="3"/>
      <c r="K154" s="3"/>
      <c r="L154" s="3"/>
      <c r="M154" s="27"/>
      <c r="N154" s="28" t="str">
        <f aca="false">IF(AND(F154&lt;&gt;"",C154="Fer 9 + putter",D154=9),COUNTIFS($C$5:C154,"Fer 9 + putter",$D$5:D154,9,$F$5:F154,"&lt;&gt;"),"")</f>
        <v/>
      </c>
    </row>
    <row r="155" customFormat="false" ht="15" hidden="false" customHeight="false" outlineLevel="0" collapsed="false">
      <c r="A155" s="26"/>
      <c r="B155" s="3"/>
      <c r="C155" s="3"/>
      <c r="D155" s="3"/>
      <c r="E155" s="3"/>
      <c r="F155" s="3"/>
      <c r="G155" s="29" t="str">
        <f aca="false">IF(OR(E155="",F155=""),"",F155-E155)</f>
        <v/>
      </c>
      <c r="H155" s="3"/>
      <c r="I155" s="3"/>
      <c r="J155" s="3"/>
      <c r="K155" s="3"/>
      <c r="L155" s="3"/>
      <c r="M155" s="27"/>
      <c r="N155" s="28" t="str">
        <f aca="false">IF(AND(F155&lt;&gt;"",C155="Fer 9 + putter",D155=9),COUNTIFS($C$5:C155,"Fer 9 + putter",$D$5:D155,9,$F$5:F155,"&lt;&gt;"),"")</f>
        <v/>
      </c>
    </row>
    <row r="156" customFormat="false" ht="15" hidden="false" customHeight="false" outlineLevel="0" collapsed="false">
      <c r="A156" s="26"/>
      <c r="B156" s="3"/>
      <c r="C156" s="3"/>
      <c r="D156" s="3"/>
      <c r="E156" s="3"/>
      <c r="F156" s="3"/>
      <c r="G156" s="29" t="str">
        <f aca="false">IF(OR(E156="",F156=""),"",F156-E156)</f>
        <v/>
      </c>
      <c r="H156" s="3"/>
      <c r="I156" s="3"/>
      <c r="J156" s="3"/>
      <c r="K156" s="3"/>
      <c r="L156" s="3"/>
      <c r="M156" s="27"/>
      <c r="N156" s="28" t="str">
        <f aca="false">IF(AND(F156&lt;&gt;"",C156="Fer 9 + putter",D156=9),COUNTIFS($C$5:C156,"Fer 9 + putter",$D$5:D156,9,$F$5:F156,"&lt;&gt;"),"")</f>
        <v/>
      </c>
    </row>
    <row r="157" customFormat="false" ht="15" hidden="false" customHeight="false" outlineLevel="0" collapsed="false">
      <c r="A157" s="26"/>
      <c r="B157" s="3"/>
      <c r="C157" s="3"/>
      <c r="D157" s="3"/>
      <c r="E157" s="3"/>
      <c r="F157" s="3"/>
      <c r="G157" s="29" t="str">
        <f aca="false">IF(OR(E157="",F157=""),"",F157-E157)</f>
        <v/>
      </c>
      <c r="H157" s="3"/>
      <c r="I157" s="3"/>
      <c r="J157" s="3"/>
      <c r="K157" s="3"/>
      <c r="L157" s="3"/>
      <c r="M157" s="27"/>
      <c r="N157" s="28" t="str">
        <f aca="false">IF(AND(F157&lt;&gt;"",C157="Fer 9 + putter",D157=9),COUNTIFS($C$5:C157,"Fer 9 + putter",$D$5:D157,9,$F$5:F157,"&lt;&gt;"),"")</f>
        <v/>
      </c>
    </row>
    <row r="158" customFormat="false" ht="15" hidden="false" customHeight="false" outlineLevel="0" collapsed="false">
      <c r="A158" s="26"/>
      <c r="B158" s="3"/>
      <c r="C158" s="3"/>
      <c r="D158" s="3"/>
      <c r="E158" s="3"/>
      <c r="F158" s="3"/>
      <c r="G158" s="29" t="str">
        <f aca="false">IF(OR(E158="",F158=""),"",F158-E158)</f>
        <v/>
      </c>
      <c r="H158" s="3"/>
      <c r="I158" s="3"/>
      <c r="J158" s="3"/>
      <c r="K158" s="3"/>
      <c r="L158" s="3"/>
      <c r="M158" s="27"/>
      <c r="N158" s="28" t="str">
        <f aca="false">IF(AND(F158&lt;&gt;"",C158="Fer 9 + putter",D158=9),COUNTIFS($C$5:C158,"Fer 9 + putter",$D$5:D158,9,$F$5:F158,"&lt;&gt;"),"")</f>
        <v/>
      </c>
    </row>
    <row r="159" customFormat="false" ht="15" hidden="false" customHeight="false" outlineLevel="0" collapsed="false">
      <c r="A159" s="26"/>
      <c r="B159" s="3"/>
      <c r="C159" s="3"/>
      <c r="D159" s="3"/>
      <c r="E159" s="3"/>
      <c r="F159" s="3"/>
      <c r="G159" s="29" t="str">
        <f aca="false">IF(OR(E159="",F159=""),"",F159-E159)</f>
        <v/>
      </c>
      <c r="H159" s="3"/>
      <c r="I159" s="3"/>
      <c r="J159" s="3"/>
      <c r="K159" s="3"/>
      <c r="L159" s="3"/>
      <c r="M159" s="27"/>
      <c r="N159" s="28" t="str">
        <f aca="false">IF(AND(F159&lt;&gt;"",C159="Fer 9 + putter",D159=9),COUNTIFS($C$5:C159,"Fer 9 + putter",$D$5:D159,9,$F$5:F159,"&lt;&gt;"),"")</f>
        <v/>
      </c>
    </row>
    <row r="160" customFormat="false" ht="15" hidden="false" customHeight="false" outlineLevel="0" collapsed="false">
      <c r="A160" s="26"/>
      <c r="B160" s="3"/>
      <c r="C160" s="3"/>
      <c r="D160" s="3"/>
      <c r="E160" s="3"/>
      <c r="F160" s="3"/>
      <c r="G160" s="29" t="str">
        <f aca="false">IF(OR(E160="",F160=""),"",F160-E160)</f>
        <v/>
      </c>
      <c r="H160" s="3"/>
      <c r="I160" s="3"/>
      <c r="J160" s="3"/>
      <c r="K160" s="3"/>
      <c r="L160" s="3"/>
      <c r="M160" s="27"/>
      <c r="N160" s="28" t="str">
        <f aca="false">IF(AND(F160&lt;&gt;"",C160="Fer 9 + putter",D160=9),COUNTIFS($C$5:C160,"Fer 9 + putter",$D$5:D160,9,$F$5:F160,"&lt;&gt;"),"")</f>
        <v/>
      </c>
    </row>
    <row r="161" customFormat="false" ht="15" hidden="false" customHeight="false" outlineLevel="0" collapsed="false">
      <c r="A161" s="26"/>
      <c r="B161" s="3"/>
      <c r="C161" s="3"/>
      <c r="D161" s="3"/>
      <c r="E161" s="3"/>
      <c r="F161" s="3"/>
      <c r="G161" s="29" t="str">
        <f aca="false">IF(OR(E161="",F161=""),"",F161-E161)</f>
        <v/>
      </c>
      <c r="H161" s="3"/>
      <c r="I161" s="3"/>
      <c r="J161" s="3"/>
      <c r="K161" s="3"/>
      <c r="L161" s="3"/>
      <c r="M161" s="27"/>
      <c r="N161" s="28" t="str">
        <f aca="false">IF(AND(F161&lt;&gt;"",C161="Fer 9 + putter",D161=9),COUNTIFS($C$5:C161,"Fer 9 + putter",$D$5:D161,9,$F$5:F161,"&lt;&gt;"),"")</f>
        <v/>
      </c>
    </row>
    <row r="162" customFormat="false" ht="15" hidden="false" customHeight="false" outlineLevel="0" collapsed="false">
      <c r="A162" s="26"/>
      <c r="B162" s="3"/>
      <c r="C162" s="3"/>
      <c r="D162" s="3"/>
      <c r="E162" s="3"/>
      <c r="F162" s="3"/>
      <c r="G162" s="29" t="str">
        <f aca="false">IF(OR(E162="",F162=""),"",F162-E162)</f>
        <v/>
      </c>
      <c r="H162" s="3"/>
      <c r="I162" s="3"/>
      <c r="J162" s="3"/>
      <c r="K162" s="3"/>
      <c r="L162" s="3"/>
      <c r="M162" s="27"/>
      <c r="N162" s="28" t="str">
        <f aca="false">IF(AND(F162&lt;&gt;"",C162="Fer 9 + putter",D162=9),COUNTIFS($C$5:C162,"Fer 9 + putter",$D$5:D162,9,$F$5:F162,"&lt;&gt;"),"")</f>
        <v/>
      </c>
    </row>
    <row r="163" customFormat="false" ht="15" hidden="false" customHeight="false" outlineLevel="0" collapsed="false">
      <c r="A163" s="26"/>
      <c r="B163" s="3"/>
      <c r="C163" s="3"/>
      <c r="D163" s="3"/>
      <c r="E163" s="3"/>
      <c r="F163" s="3"/>
      <c r="G163" s="29" t="str">
        <f aca="false">IF(OR(E163="",F163=""),"",F163-E163)</f>
        <v/>
      </c>
      <c r="H163" s="3"/>
      <c r="I163" s="3"/>
      <c r="J163" s="3"/>
      <c r="K163" s="3"/>
      <c r="L163" s="3"/>
      <c r="M163" s="27"/>
      <c r="N163" s="28" t="str">
        <f aca="false">IF(AND(F163&lt;&gt;"",C163="Fer 9 + putter",D163=9),COUNTIFS($C$5:C163,"Fer 9 + putter",$D$5:D163,9,$F$5:F163,"&lt;&gt;"),"")</f>
        <v/>
      </c>
    </row>
    <row r="164" customFormat="false" ht="15" hidden="false" customHeight="false" outlineLevel="0" collapsed="false">
      <c r="A164" s="26"/>
      <c r="B164" s="3"/>
      <c r="C164" s="3"/>
      <c r="D164" s="3"/>
      <c r="E164" s="3"/>
      <c r="F164" s="3"/>
      <c r="G164" s="29" t="str">
        <f aca="false">IF(OR(E164="",F164=""),"",F164-E164)</f>
        <v/>
      </c>
      <c r="H164" s="3"/>
      <c r="I164" s="3"/>
      <c r="J164" s="3"/>
      <c r="K164" s="3"/>
      <c r="L164" s="3"/>
      <c r="M164" s="27"/>
      <c r="N164" s="28" t="str">
        <f aca="false">IF(AND(F164&lt;&gt;"",C164="Fer 9 + putter",D164=9),COUNTIFS($C$5:C164,"Fer 9 + putter",$D$5:D164,9,$F$5:F164,"&lt;&gt;"),"")</f>
        <v/>
      </c>
    </row>
    <row r="165" customFormat="false" ht="15" hidden="false" customHeight="false" outlineLevel="0" collapsed="false">
      <c r="A165" s="26"/>
      <c r="B165" s="3"/>
      <c r="C165" s="3"/>
      <c r="D165" s="3"/>
      <c r="E165" s="3"/>
      <c r="F165" s="3"/>
      <c r="G165" s="29" t="str">
        <f aca="false">IF(OR(E165="",F165=""),"",F165-E165)</f>
        <v/>
      </c>
      <c r="H165" s="3"/>
      <c r="I165" s="3"/>
      <c r="J165" s="3"/>
      <c r="K165" s="3"/>
      <c r="L165" s="3"/>
      <c r="M165" s="27"/>
      <c r="N165" s="28" t="str">
        <f aca="false">IF(AND(F165&lt;&gt;"",C165="Fer 9 + putter",D165=9),COUNTIFS($C$5:C165,"Fer 9 + putter",$D$5:D165,9,$F$5:F165,"&lt;&gt;"),"")</f>
        <v/>
      </c>
    </row>
    <row r="166" customFormat="false" ht="15" hidden="false" customHeight="false" outlineLevel="0" collapsed="false">
      <c r="A166" s="26"/>
      <c r="B166" s="3"/>
      <c r="C166" s="3"/>
      <c r="D166" s="3"/>
      <c r="E166" s="3"/>
      <c r="F166" s="3"/>
      <c r="G166" s="29" t="str">
        <f aca="false">IF(OR(E166="",F166=""),"",F166-E166)</f>
        <v/>
      </c>
      <c r="H166" s="3"/>
      <c r="I166" s="3"/>
      <c r="J166" s="3"/>
      <c r="K166" s="3"/>
      <c r="L166" s="3"/>
      <c r="M166" s="27"/>
      <c r="N166" s="28" t="str">
        <f aca="false">IF(AND(F166&lt;&gt;"",C166="Fer 9 + putter",D166=9),COUNTIFS($C$5:C166,"Fer 9 + putter",$D$5:D166,9,$F$5:F166,"&lt;&gt;"),"")</f>
        <v/>
      </c>
    </row>
    <row r="167" customFormat="false" ht="15" hidden="false" customHeight="false" outlineLevel="0" collapsed="false">
      <c r="A167" s="26"/>
      <c r="B167" s="3"/>
      <c r="C167" s="3"/>
      <c r="D167" s="3"/>
      <c r="E167" s="3"/>
      <c r="F167" s="3"/>
      <c r="G167" s="29" t="str">
        <f aca="false">IF(OR(E167="",F167=""),"",F167-E167)</f>
        <v/>
      </c>
      <c r="H167" s="3"/>
      <c r="I167" s="3"/>
      <c r="J167" s="3"/>
      <c r="K167" s="3"/>
      <c r="L167" s="3"/>
      <c r="M167" s="27"/>
      <c r="N167" s="28" t="str">
        <f aca="false">IF(AND(F167&lt;&gt;"",C167="Fer 9 + putter",D167=9),COUNTIFS($C$5:C167,"Fer 9 + putter",$D$5:D167,9,$F$5:F167,"&lt;&gt;"),"")</f>
        <v/>
      </c>
    </row>
    <row r="168" customFormat="false" ht="15" hidden="false" customHeight="false" outlineLevel="0" collapsed="false">
      <c r="A168" s="26"/>
      <c r="B168" s="3"/>
      <c r="C168" s="3"/>
      <c r="D168" s="3"/>
      <c r="E168" s="3"/>
      <c r="F168" s="3"/>
      <c r="G168" s="29" t="str">
        <f aca="false">IF(OR(E168="",F168=""),"",F168-E168)</f>
        <v/>
      </c>
      <c r="H168" s="3"/>
      <c r="I168" s="3"/>
      <c r="J168" s="3"/>
      <c r="K168" s="3"/>
      <c r="L168" s="3"/>
      <c r="M168" s="27"/>
      <c r="N168" s="28" t="str">
        <f aca="false">IF(AND(F168&lt;&gt;"",C168="Fer 9 + putter",D168=9),COUNTIFS($C$5:C168,"Fer 9 + putter",$D$5:D168,9,$F$5:F168,"&lt;&gt;"),"")</f>
        <v/>
      </c>
    </row>
    <row r="169" customFormat="false" ht="15" hidden="false" customHeight="false" outlineLevel="0" collapsed="false">
      <c r="A169" s="26"/>
      <c r="B169" s="3"/>
      <c r="C169" s="3"/>
      <c r="D169" s="3"/>
      <c r="E169" s="3"/>
      <c r="F169" s="3"/>
      <c r="G169" s="29" t="str">
        <f aca="false">IF(OR(E169="",F169=""),"",F169-E169)</f>
        <v/>
      </c>
      <c r="H169" s="3"/>
      <c r="I169" s="3"/>
      <c r="J169" s="3"/>
      <c r="K169" s="3"/>
      <c r="L169" s="3"/>
      <c r="M169" s="27"/>
      <c r="N169" s="28" t="str">
        <f aca="false">IF(AND(F169&lt;&gt;"",C169="Fer 9 + putter",D169=9),COUNTIFS($C$5:C169,"Fer 9 + putter",$D$5:D169,9,$F$5:F169,"&lt;&gt;"),"")</f>
        <v/>
      </c>
    </row>
    <row r="170" customFormat="false" ht="15" hidden="false" customHeight="false" outlineLevel="0" collapsed="false">
      <c r="A170" s="26"/>
      <c r="B170" s="3"/>
      <c r="C170" s="3"/>
      <c r="D170" s="3"/>
      <c r="E170" s="3"/>
      <c r="F170" s="3"/>
      <c r="G170" s="29" t="str">
        <f aca="false">IF(OR(E170="",F170=""),"",F170-E170)</f>
        <v/>
      </c>
      <c r="H170" s="3"/>
      <c r="I170" s="3"/>
      <c r="J170" s="3"/>
      <c r="K170" s="3"/>
      <c r="L170" s="3"/>
      <c r="M170" s="27"/>
      <c r="N170" s="28" t="str">
        <f aca="false">IF(AND(F170&lt;&gt;"",C170="Fer 9 + putter",D170=9),COUNTIFS($C$5:C170,"Fer 9 + putter",$D$5:D170,9,$F$5:F170,"&lt;&gt;"),"")</f>
        <v/>
      </c>
    </row>
    <row r="171" customFormat="false" ht="15" hidden="false" customHeight="false" outlineLevel="0" collapsed="false">
      <c r="A171" s="26"/>
      <c r="B171" s="3"/>
      <c r="C171" s="3"/>
      <c r="D171" s="3"/>
      <c r="E171" s="3"/>
      <c r="F171" s="3"/>
      <c r="G171" s="29" t="str">
        <f aca="false">IF(OR(E171="",F171=""),"",F171-E171)</f>
        <v/>
      </c>
      <c r="H171" s="3"/>
      <c r="I171" s="3"/>
      <c r="J171" s="3"/>
      <c r="K171" s="3"/>
      <c r="L171" s="3"/>
      <c r="M171" s="27"/>
      <c r="N171" s="28" t="str">
        <f aca="false">IF(AND(F171&lt;&gt;"",C171="Fer 9 + putter",D171=9),COUNTIFS($C$5:C171,"Fer 9 + putter",$D$5:D171,9,$F$5:F171,"&lt;&gt;"),"")</f>
        <v/>
      </c>
    </row>
    <row r="172" customFormat="false" ht="15" hidden="false" customHeight="false" outlineLevel="0" collapsed="false">
      <c r="A172" s="26"/>
      <c r="B172" s="3"/>
      <c r="C172" s="3"/>
      <c r="D172" s="3"/>
      <c r="E172" s="3"/>
      <c r="F172" s="3"/>
      <c r="G172" s="29" t="str">
        <f aca="false">IF(OR(E172="",F172=""),"",F172-E172)</f>
        <v/>
      </c>
      <c r="H172" s="3"/>
      <c r="I172" s="3"/>
      <c r="J172" s="3"/>
      <c r="K172" s="3"/>
      <c r="L172" s="3"/>
      <c r="M172" s="27"/>
      <c r="N172" s="28" t="str">
        <f aca="false">IF(AND(F172&lt;&gt;"",C172="Fer 9 + putter",D172=9),COUNTIFS($C$5:C172,"Fer 9 + putter",$D$5:D172,9,$F$5:F172,"&lt;&gt;"),"")</f>
        <v/>
      </c>
    </row>
    <row r="173" customFormat="false" ht="15" hidden="false" customHeight="false" outlineLevel="0" collapsed="false">
      <c r="A173" s="26"/>
      <c r="B173" s="3"/>
      <c r="C173" s="3"/>
      <c r="D173" s="3"/>
      <c r="E173" s="3"/>
      <c r="F173" s="3"/>
      <c r="G173" s="29" t="str">
        <f aca="false">IF(OR(E173="",F173=""),"",F173-E173)</f>
        <v/>
      </c>
      <c r="H173" s="3"/>
      <c r="I173" s="3"/>
      <c r="J173" s="3"/>
      <c r="K173" s="3"/>
      <c r="L173" s="3"/>
      <c r="M173" s="27"/>
      <c r="N173" s="28" t="str">
        <f aca="false">IF(AND(F173&lt;&gt;"",C173="Fer 9 + putter",D173=9),COUNTIFS($C$5:C173,"Fer 9 + putter",$D$5:D173,9,$F$5:F173,"&lt;&gt;"),"")</f>
        <v/>
      </c>
    </row>
    <row r="174" customFormat="false" ht="15" hidden="false" customHeight="false" outlineLevel="0" collapsed="false">
      <c r="A174" s="26"/>
      <c r="B174" s="3"/>
      <c r="C174" s="3"/>
      <c r="D174" s="3"/>
      <c r="E174" s="3"/>
      <c r="F174" s="3"/>
      <c r="G174" s="29" t="str">
        <f aca="false">IF(OR(E174="",F174=""),"",F174-E174)</f>
        <v/>
      </c>
      <c r="H174" s="3"/>
      <c r="I174" s="3"/>
      <c r="J174" s="3"/>
      <c r="K174" s="3"/>
      <c r="L174" s="3"/>
      <c r="M174" s="27"/>
      <c r="N174" s="28" t="str">
        <f aca="false">IF(AND(F174&lt;&gt;"",C174="Fer 9 + putter",D174=9),COUNTIFS($C$5:C174,"Fer 9 + putter",$D$5:D174,9,$F$5:F174,"&lt;&gt;"),"")</f>
        <v/>
      </c>
    </row>
    <row r="175" customFormat="false" ht="15" hidden="false" customHeight="false" outlineLevel="0" collapsed="false">
      <c r="A175" s="26"/>
      <c r="B175" s="3"/>
      <c r="C175" s="3"/>
      <c r="D175" s="3"/>
      <c r="E175" s="3"/>
      <c r="F175" s="3"/>
      <c r="G175" s="29" t="str">
        <f aca="false">IF(OR(E175="",F175=""),"",F175-E175)</f>
        <v/>
      </c>
      <c r="H175" s="3"/>
      <c r="I175" s="3"/>
      <c r="J175" s="3"/>
      <c r="K175" s="3"/>
      <c r="L175" s="3"/>
      <c r="M175" s="27"/>
      <c r="N175" s="28" t="str">
        <f aca="false">IF(AND(F175&lt;&gt;"",C175="Fer 9 + putter",D175=9),COUNTIFS($C$5:C175,"Fer 9 + putter",$D$5:D175,9,$F$5:F175,"&lt;&gt;"),"")</f>
        <v/>
      </c>
    </row>
    <row r="176" customFormat="false" ht="15" hidden="false" customHeight="false" outlineLevel="0" collapsed="false">
      <c r="A176" s="26"/>
      <c r="B176" s="3"/>
      <c r="C176" s="3"/>
      <c r="D176" s="3"/>
      <c r="E176" s="3"/>
      <c r="F176" s="3"/>
      <c r="G176" s="29" t="str">
        <f aca="false">IF(OR(E176="",F176=""),"",F176-E176)</f>
        <v/>
      </c>
      <c r="H176" s="3"/>
      <c r="I176" s="3"/>
      <c r="J176" s="3"/>
      <c r="K176" s="3"/>
      <c r="L176" s="3"/>
      <c r="M176" s="27"/>
      <c r="N176" s="28" t="str">
        <f aca="false">IF(AND(F176&lt;&gt;"",C176="Fer 9 + putter",D176=9),COUNTIFS($C$5:C176,"Fer 9 + putter",$D$5:D176,9,$F$5:F176,"&lt;&gt;"),"")</f>
        <v/>
      </c>
    </row>
    <row r="177" customFormat="false" ht="15" hidden="false" customHeight="false" outlineLevel="0" collapsed="false">
      <c r="A177" s="26"/>
      <c r="B177" s="3"/>
      <c r="C177" s="3"/>
      <c r="D177" s="3"/>
      <c r="E177" s="3"/>
      <c r="F177" s="3"/>
      <c r="G177" s="29" t="str">
        <f aca="false">IF(OR(E177="",F177=""),"",F177-E177)</f>
        <v/>
      </c>
      <c r="H177" s="3"/>
      <c r="I177" s="3"/>
      <c r="J177" s="3"/>
      <c r="K177" s="3"/>
      <c r="L177" s="3"/>
      <c r="M177" s="27"/>
      <c r="N177" s="28" t="str">
        <f aca="false">IF(AND(F177&lt;&gt;"",C177="Fer 9 + putter",D177=9),COUNTIFS($C$5:C177,"Fer 9 + putter",$D$5:D177,9,$F$5:F177,"&lt;&gt;"),"")</f>
        <v/>
      </c>
    </row>
    <row r="178" customFormat="false" ht="15" hidden="false" customHeight="false" outlineLevel="0" collapsed="false">
      <c r="A178" s="26"/>
      <c r="B178" s="3"/>
      <c r="C178" s="3"/>
      <c r="D178" s="3"/>
      <c r="E178" s="3"/>
      <c r="F178" s="3"/>
      <c r="G178" s="29" t="str">
        <f aca="false">IF(OR(E178="",F178=""),"",F178-E178)</f>
        <v/>
      </c>
      <c r="H178" s="3"/>
      <c r="I178" s="3"/>
      <c r="J178" s="3"/>
      <c r="K178" s="3"/>
      <c r="L178" s="3"/>
      <c r="M178" s="27"/>
      <c r="N178" s="28" t="str">
        <f aca="false">IF(AND(F178&lt;&gt;"",C178="Fer 9 + putter",D178=9),COUNTIFS($C$5:C178,"Fer 9 + putter",$D$5:D178,9,$F$5:F178,"&lt;&gt;"),"")</f>
        <v/>
      </c>
    </row>
    <row r="179" customFormat="false" ht="15" hidden="false" customHeight="false" outlineLevel="0" collapsed="false">
      <c r="A179" s="26"/>
      <c r="B179" s="3"/>
      <c r="C179" s="3"/>
      <c r="D179" s="3"/>
      <c r="E179" s="3"/>
      <c r="F179" s="3"/>
      <c r="G179" s="29" t="str">
        <f aca="false">IF(OR(E179="",F179=""),"",F179-E179)</f>
        <v/>
      </c>
      <c r="H179" s="3"/>
      <c r="I179" s="3"/>
      <c r="J179" s="3"/>
      <c r="K179" s="3"/>
      <c r="L179" s="3"/>
      <c r="M179" s="27"/>
      <c r="N179" s="28" t="str">
        <f aca="false">IF(AND(F179&lt;&gt;"",C179="Fer 9 + putter",D179=9),COUNTIFS($C$5:C179,"Fer 9 + putter",$D$5:D179,9,$F$5:F179,"&lt;&gt;"),"")</f>
        <v/>
      </c>
    </row>
    <row r="180" customFormat="false" ht="15" hidden="false" customHeight="false" outlineLevel="0" collapsed="false">
      <c r="A180" s="26"/>
      <c r="B180" s="3"/>
      <c r="C180" s="3"/>
      <c r="D180" s="3"/>
      <c r="E180" s="3"/>
      <c r="F180" s="3"/>
      <c r="G180" s="29" t="str">
        <f aca="false">IF(OR(E180="",F180=""),"",F180-E180)</f>
        <v/>
      </c>
      <c r="H180" s="3"/>
      <c r="I180" s="3"/>
      <c r="J180" s="3"/>
      <c r="K180" s="3"/>
      <c r="L180" s="3"/>
      <c r="M180" s="27"/>
      <c r="N180" s="28" t="str">
        <f aca="false">IF(AND(F180&lt;&gt;"",C180="Fer 9 + putter",D180=9),COUNTIFS($C$5:C180,"Fer 9 + putter",$D$5:D180,9,$F$5:F180,"&lt;&gt;"),"")</f>
        <v/>
      </c>
    </row>
    <row r="181" customFormat="false" ht="15" hidden="false" customHeight="false" outlineLevel="0" collapsed="false">
      <c r="A181" s="26"/>
      <c r="B181" s="3"/>
      <c r="C181" s="3"/>
      <c r="D181" s="3"/>
      <c r="E181" s="3"/>
      <c r="F181" s="3"/>
      <c r="G181" s="29" t="str">
        <f aca="false">IF(OR(E181="",F181=""),"",F181-E181)</f>
        <v/>
      </c>
      <c r="H181" s="3"/>
      <c r="I181" s="3"/>
      <c r="J181" s="3"/>
      <c r="K181" s="3"/>
      <c r="L181" s="3"/>
      <c r="M181" s="27"/>
      <c r="N181" s="28" t="str">
        <f aca="false">IF(AND(F181&lt;&gt;"",C181="Fer 9 + putter",D181=9),COUNTIFS($C$5:C181,"Fer 9 + putter",$D$5:D181,9,$F$5:F181,"&lt;&gt;"),"")</f>
        <v/>
      </c>
    </row>
    <row r="182" customFormat="false" ht="15" hidden="false" customHeight="false" outlineLevel="0" collapsed="false">
      <c r="A182" s="26"/>
      <c r="B182" s="3"/>
      <c r="C182" s="3"/>
      <c r="D182" s="3"/>
      <c r="E182" s="3"/>
      <c r="F182" s="3"/>
      <c r="G182" s="29" t="str">
        <f aca="false">IF(OR(E182="",F182=""),"",F182-E182)</f>
        <v/>
      </c>
      <c r="H182" s="3"/>
      <c r="I182" s="3"/>
      <c r="J182" s="3"/>
      <c r="K182" s="3"/>
      <c r="L182" s="3"/>
      <c r="M182" s="27"/>
      <c r="N182" s="28" t="str">
        <f aca="false">IF(AND(F182&lt;&gt;"",C182="Fer 9 + putter",D182=9),COUNTIFS($C$5:C182,"Fer 9 + putter",$D$5:D182,9,$F$5:F182,"&lt;&gt;"),"")</f>
        <v/>
      </c>
    </row>
    <row r="183" customFormat="false" ht="15" hidden="false" customHeight="false" outlineLevel="0" collapsed="false">
      <c r="A183" s="26"/>
      <c r="B183" s="3"/>
      <c r="C183" s="3"/>
      <c r="D183" s="3"/>
      <c r="E183" s="3"/>
      <c r="F183" s="3"/>
      <c r="G183" s="29" t="str">
        <f aca="false">IF(OR(E183="",F183=""),"",F183-E183)</f>
        <v/>
      </c>
      <c r="H183" s="3"/>
      <c r="I183" s="3"/>
      <c r="J183" s="3"/>
      <c r="K183" s="3"/>
      <c r="L183" s="3"/>
      <c r="M183" s="27"/>
      <c r="N183" s="28" t="str">
        <f aca="false">IF(AND(F183&lt;&gt;"",C183="Fer 9 + putter",D183=9),COUNTIFS($C$5:C183,"Fer 9 + putter",$D$5:D183,9,$F$5:F183,"&lt;&gt;"),"")</f>
        <v/>
      </c>
    </row>
    <row r="184" customFormat="false" ht="15" hidden="false" customHeight="false" outlineLevel="0" collapsed="false">
      <c r="A184" s="26"/>
      <c r="B184" s="3"/>
      <c r="C184" s="3"/>
      <c r="D184" s="3"/>
      <c r="E184" s="3"/>
      <c r="F184" s="3"/>
      <c r="G184" s="29" t="str">
        <f aca="false">IF(OR(E184="",F184=""),"",F184-E184)</f>
        <v/>
      </c>
      <c r="H184" s="3"/>
      <c r="I184" s="3"/>
      <c r="J184" s="3"/>
      <c r="K184" s="3"/>
      <c r="L184" s="3"/>
      <c r="M184" s="27"/>
      <c r="N184" s="28" t="str">
        <f aca="false">IF(AND(F184&lt;&gt;"",C184="Fer 9 + putter",D184=9),COUNTIFS($C$5:C184,"Fer 9 + putter",$D$5:D184,9,$F$5:F184,"&lt;&gt;"),"")</f>
        <v/>
      </c>
    </row>
    <row r="185" customFormat="false" ht="15" hidden="false" customHeight="false" outlineLevel="0" collapsed="false">
      <c r="A185" s="26"/>
      <c r="B185" s="3"/>
      <c r="C185" s="3"/>
      <c r="D185" s="3"/>
      <c r="E185" s="3"/>
      <c r="F185" s="3"/>
      <c r="G185" s="29" t="str">
        <f aca="false">IF(OR(E185="",F185=""),"",F185-E185)</f>
        <v/>
      </c>
      <c r="H185" s="3"/>
      <c r="I185" s="3"/>
      <c r="J185" s="3"/>
      <c r="K185" s="3"/>
      <c r="L185" s="3"/>
      <c r="M185" s="27"/>
      <c r="N185" s="28" t="str">
        <f aca="false">IF(AND(F185&lt;&gt;"",C185="Fer 9 + putter",D185=9),COUNTIFS($C$5:C185,"Fer 9 + putter",$D$5:D185,9,$F$5:F185,"&lt;&gt;"),"")</f>
        <v/>
      </c>
    </row>
    <row r="186" customFormat="false" ht="15" hidden="false" customHeight="false" outlineLevel="0" collapsed="false">
      <c r="A186" s="26"/>
      <c r="B186" s="3"/>
      <c r="C186" s="3"/>
      <c r="D186" s="3"/>
      <c r="E186" s="3"/>
      <c r="F186" s="3"/>
      <c r="G186" s="29" t="str">
        <f aca="false">IF(OR(E186="",F186=""),"",F186-E186)</f>
        <v/>
      </c>
      <c r="H186" s="3"/>
      <c r="I186" s="3"/>
      <c r="J186" s="3"/>
      <c r="K186" s="3"/>
      <c r="L186" s="3"/>
      <c r="M186" s="27"/>
      <c r="N186" s="28" t="str">
        <f aca="false">IF(AND(F186&lt;&gt;"",C186="Fer 9 + putter",D186=9),COUNTIFS($C$5:C186,"Fer 9 + putter",$D$5:D186,9,$F$5:F186,"&lt;&gt;"),"")</f>
        <v/>
      </c>
    </row>
    <row r="187" customFormat="false" ht="15" hidden="false" customHeight="false" outlineLevel="0" collapsed="false">
      <c r="A187" s="26"/>
      <c r="B187" s="3"/>
      <c r="C187" s="3"/>
      <c r="D187" s="3"/>
      <c r="E187" s="3"/>
      <c r="F187" s="3"/>
      <c r="G187" s="29" t="str">
        <f aca="false">IF(OR(E187="",F187=""),"",F187-E187)</f>
        <v/>
      </c>
      <c r="H187" s="3"/>
      <c r="I187" s="3"/>
      <c r="J187" s="3"/>
      <c r="K187" s="3"/>
      <c r="L187" s="3"/>
      <c r="M187" s="27"/>
      <c r="N187" s="28" t="str">
        <f aca="false">IF(AND(F187&lt;&gt;"",C187="Fer 9 + putter",D187=9),COUNTIFS($C$5:C187,"Fer 9 + putter",$D$5:D187,9,$F$5:F187,"&lt;&gt;"),"")</f>
        <v/>
      </c>
    </row>
    <row r="188" customFormat="false" ht="15" hidden="false" customHeight="false" outlineLevel="0" collapsed="false">
      <c r="A188" s="26"/>
      <c r="B188" s="3"/>
      <c r="C188" s="3"/>
      <c r="D188" s="3"/>
      <c r="E188" s="3"/>
      <c r="F188" s="3"/>
      <c r="G188" s="29" t="str">
        <f aca="false">IF(OR(E188="",F188=""),"",F188-E188)</f>
        <v/>
      </c>
      <c r="H188" s="3"/>
      <c r="I188" s="3"/>
      <c r="J188" s="3"/>
      <c r="K188" s="3"/>
      <c r="L188" s="3"/>
      <c r="M188" s="27"/>
      <c r="N188" s="28" t="str">
        <f aca="false">IF(AND(F188&lt;&gt;"",C188="Fer 9 + putter",D188=9),COUNTIFS($C$5:C188,"Fer 9 + putter",$D$5:D188,9,$F$5:F188,"&lt;&gt;"),"")</f>
        <v/>
      </c>
    </row>
    <row r="189" customFormat="false" ht="15" hidden="false" customHeight="false" outlineLevel="0" collapsed="false">
      <c r="A189" s="26"/>
      <c r="B189" s="3"/>
      <c r="C189" s="3"/>
      <c r="D189" s="3"/>
      <c r="E189" s="3"/>
      <c r="F189" s="3"/>
      <c r="G189" s="29" t="str">
        <f aca="false">IF(OR(E189="",F189=""),"",F189-E189)</f>
        <v/>
      </c>
      <c r="H189" s="3"/>
      <c r="I189" s="3"/>
      <c r="J189" s="3"/>
      <c r="K189" s="3"/>
      <c r="L189" s="3"/>
      <c r="M189" s="27"/>
      <c r="N189" s="28" t="str">
        <f aca="false">IF(AND(F189&lt;&gt;"",C189="Fer 9 + putter",D189=9),COUNTIFS($C$5:C189,"Fer 9 + putter",$D$5:D189,9,$F$5:F189,"&lt;&gt;"),"")</f>
        <v/>
      </c>
    </row>
    <row r="190" customFormat="false" ht="15" hidden="false" customHeight="false" outlineLevel="0" collapsed="false">
      <c r="A190" s="26"/>
      <c r="B190" s="3"/>
      <c r="C190" s="3"/>
      <c r="D190" s="3"/>
      <c r="E190" s="3"/>
      <c r="F190" s="3"/>
      <c r="G190" s="29" t="str">
        <f aca="false">IF(OR(E190="",F190=""),"",F190-E190)</f>
        <v/>
      </c>
      <c r="H190" s="3"/>
      <c r="I190" s="3"/>
      <c r="J190" s="3"/>
      <c r="K190" s="3"/>
      <c r="L190" s="3"/>
      <c r="M190" s="27"/>
      <c r="N190" s="28" t="str">
        <f aca="false">IF(AND(F190&lt;&gt;"",C190="Fer 9 + putter",D190=9),COUNTIFS($C$5:C190,"Fer 9 + putter",$D$5:D190,9,$F$5:F190,"&lt;&gt;"),"")</f>
        <v/>
      </c>
    </row>
    <row r="191" customFormat="false" ht="15" hidden="false" customHeight="false" outlineLevel="0" collapsed="false">
      <c r="A191" s="26"/>
      <c r="B191" s="3"/>
      <c r="C191" s="3"/>
      <c r="D191" s="3"/>
      <c r="E191" s="3"/>
      <c r="F191" s="3"/>
      <c r="G191" s="29" t="str">
        <f aca="false">IF(OR(E191="",F191=""),"",F191-E191)</f>
        <v/>
      </c>
      <c r="H191" s="3"/>
      <c r="I191" s="3"/>
      <c r="J191" s="3"/>
      <c r="K191" s="3"/>
      <c r="L191" s="3"/>
      <c r="M191" s="27"/>
      <c r="N191" s="28" t="str">
        <f aca="false">IF(AND(F191&lt;&gt;"",C191="Fer 9 + putter",D191=9),COUNTIFS($C$5:C191,"Fer 9 + putter",$D$5:D191,9,$F$5:F191,"&lt;&gt;"),"")</f>
        <v/>
      </c>
    </row>
    <row r="192" customFormat="false" ht="15" hidden="false" customHeight="false" outlineLevel="0" collapsed="false">
      <c r="A192" s="26"/>
      <c r="B192" s="3"/>
      <c r="C192" s="3"/>
      <c r="D192" s="3"/>
      <c r="E192" s="3"/>
      <c r="F192" s="3"/>
      <c r="G192" s="29" t="str">
        <f aca="false">IF(OR(E192="",F192=""),"",F192-E192)</f>
        <v/>
      </c>
      <c r="H192" s="3"/>
      <c r="I192" s="3"/>
      <c r="J192" s="3"/>
      <c r="K192" s="3"/>
      <c r="L192" s="3"/>
      <c r="M192" s="27"/>
      <c r="N192" s="28" t="str">
        <f aca="false">IF(AND(F192&lt;&gt;"",C192="Fer 9 + putter",D192=9),COUNTIFS($C$5:C192,"Fer 9 + putter",$D$5:D192,9,$F$5:F192,"&lt;&gt;"),"")</f>
        <v/>
      </c>
    </row>
    <row r="193" customFormat="false" ht="15" hidden="false" customHeight="false" outlineLevel="0" collapsed="false">
      <c r="A193" s="26"/>
      <c r="B193" s="3"/>
      <c r="C193" s="3"/>
      <c r="D193" s="3"/>
      <c r="E193" s="3"/>
      <c r="F193" s="3"/>
      <c r="G193" s="29" t="str">
        <f aca="false">IF(OR(E193="",F193=""),"",F193-E193)</f>
        <v/>
      </c>
      <c r="H193" s="3"/>
      <c r="I193" s="3"/>
      <c r="J193" s="3"/>
      <c r="K193" s="3"/>
      <c r="L193" s="3"/>
      <c r="M193" s="27"/>
      <c r="N193" s="28" t="str">
        <f aca="false">IF(AND(F193&lt;&gt;"",C193="Fer 9 + putter",D193=9),COUNTIFS($C$5:C193,"Fer 9 + putter",$D$5:D193,9,$F$5:F193,"&lt;&gt;"),"")</f>
        <v/>
      </c>
    </row>
    <row r="194" customFormat="false" ht="15" hidden="false" customHeight="false" outlineLevel="0" collapsed="false">
      <c r="A194" s="26"/>
      <c r="B194" s="3"/>
      <c r="C194" s="3"/>
      <c r="D194" s="3"/>
      <c r="E194" s="3"/>
      <c r="F194" s="3"/>
      <c r="G194" s="29" t="str">
        <f aca="false">IF(OR(E194="",F194=""),"",F194-E194)</f>
        <v/>
      </c>
      <c r="H194" s="3"/>
      <c r="I194" s="3"/>
      <c r="J194" s="3"/>
      <c r="K194" s="3"/>
      <c r="L194" s="3"/>
      <c r="M194" s="27"/>
      <c r="N194" s="28" t="str">
        <f aca="false">IF(AND(F194&lt;&gt;"",C194="Fer 9 + putter",D194=9),COUNTIFS($C$5:C194,"Fer 9 + putter",$D$5:D194,9,$F$5:F194,"&lt;&gt;"),"")</f>
        <v/>
      </c>
    </row>
    <row r="195" customFormat="false" ht="15" hidden="false" customHeight="false" outlineLevel="0" collapsed="false">
      <c r="A195" s="26"/>
      <c r="B195" s="3"/>
      <c r="C195" s="3"/>
      <c r="D195" s="3"/>
      <c r="E195" s="3"/>
      <c r="F195" s="3"/>
      <c r="G195" s="29" t="str">
        <f aca="false">IF(OR(E195="",F195=""),"",F195-E195)</f>
        <v/>
      </c>
      <c r="H195" s="3"/>
      <c r="I195" s="3"/>
      <c r="J195" s="3"/>
      <c r="K195" s="3"/>
      <c r="L195" s="3"/>
      <c r="M195" s="27"/>
      <c r="N195" s="28" t="str">
        <f aca="false">IF(AND(F195&lt;&gt;"",C195="Fer 9 + putter",D195=9),COUNTIFS($C$5:C195,"Fer 9 + putter",$D$5:D195,9,$F$5:F195,"&lt;&gt;"),"")</f>
        <v/>
      </c>
    </row>
    <row r="196" customFormat="false" ht="15" hidden="false" customHeight="false" outlineLevel="0" collapsed="false">
      <c r="A196" s="26"/>
      <c r="B196" s="3"/>
      <c r="C196" s="3"/>
      <c r="D196" s="3"/>
      <c r="E196" s="3"/>
      <c r="F196" s="3"/>
      <c r="G196" s="29" t="str">
        <f aca="false">IF(OR(E196="",F196=""),"",F196-E196)</f>
        <v/>
      </c>
      <c r="H196" s="3"/>
      <c r="I196" s="3"/>
      <c r="J196" s="3"/>
      <c r="K196" s="3"/>
      <c r="L196" s="3"/>
      <c r="M196" s="27"/>
      <c r="N196" s="28" t="str">
        <f aca="false">IF(AND(F196&lt;&gt;"",C196="Fer 9 + putter",D196=9),COUNTIFS($C$5:C196,"Fer 9 + putter",$D$5:D196,9,$F$5:F196,"&lt;&gt;"),"")</f>
        <v/>
      </c>
    </row>
    <row r="197" customFormat="false" ht="15" hidden="false" customHeight="false" outlineLevel="0" collapsed="false">
      <c r="A197" s="26"/>
      <c r="B197" s="3"/>
      <c r="C197" s="3"/>
      <c r="D197" s="3"/>
      <c r="E197" s="3"/>
      <c r="F197" s="3"/>
      <c r="G197" s="29" t="str">
        <f aca="false">IF(OR(E197="",F197=""),"",F197-E197)</f>
        <v/>
      </c>
      <c r="H197" s="3"/>
      <c r="I197" s="3"/>
      <c r="J197" s="3"/>
      <c r="K197" s="3"/>
      <c r="L197" s="3"/>
      <c r="M197" s="27"/>
      <c r="N197" s="28" t="str">
        <f aca="false">IF(AND(F197&lt;&gt;"",C197="Fer 9 + putter",D197=9),COUNTIFS($C$5:C197,"Fer 9 + putter",$D$5:D197,9,$F$5:F197,"&lt;&gt;"),"")</f>
        <v/>
      </c>
    </row>
    <row r="198" customFormat="false" ht="15" hidden="false" customHeight="false" outlineLevel="0" collapsed="false">
      <c r="A198" s="26"/>
      <c r="B198" s="3"/>
      <c r="C198" s="3"/>
      <c r="D198" s="3"/>
      <c r="E198" s="3"/>
      <c r="F198" s="3"/>
      <c r="G198" s="29" t="str">
        <f aca="false">IF(OR(E198="",F198=""),"",F198-E198)</f>
        <v/>
      </c>
      <c r="H198" s="3"/>
      <c r="I198" s="3"/>
      <c r="J198" s="3"/>
      <c r="K198" s="3"/>
      <c r="L198" s="3"/>
      <c r="M198" s="27"/>
      <c r="N198" s="28" t="str">
        <f aca="false">IF(AND(F198&lt;&gt;"",C198="Fer 9 + putter",D198=9),COUNTIFS($C$5:C198,"Fer 9 + putter",$D$5:D198,9,$F$5:F198,"&lt;&gt;"),"")</f>
        <v/>
      </c>
    </row>
    <row r="199" customFormat="false" ht="15" hidden="false" customHeight="false" outlineLevel="0" collapsed="false">
      <c r="A199" s="26"/>
      <c r="B199" s="3"/>
      <c r="C199" s="3"/>
      <c r="D199" s="3"/>
      <c r="E199" s="3"/>
      <c r="F199" s="3"/>
      <c r="G199" s="29" t="str">
        <f aca="false">IF(OR(E199="",F199=""),"",F199-E199)</f>
        <v/>
      </c>
      <c r="H199" s="3"/>
      <c r="I199" s="3"/>
      <c r="J199" s="3"/>
      <c r="K199" s="3"/>
      <c r="L199" s="3"/>
      <c r="M199" s="27"/>
      <c r="N199" s="28" t="str">
        <f aca="false">IF(AND(F199&lt;&gt;"",C199="Fer 9 + putter",D199=9),COUNTIFS($C$5:C199,"Fer 9 + putter",$D$5:D199,9,$F$5:F199,"&lt;&gt;"),"")</f>
        <v/>
      </c>
    </row>
    <row r="200" customFormat="false" ht="15" hidden="false" customHeight="false" outlineLevel="0" collapsed="false">
      <c r="A200" s="26"/>
      <c r="B200" s="3"/>
      <c r="C200" s="3"/>
      <c r="D200" s="3"/>
      <c r="E200" s="3"/>
      <c r="F200" s="3"/>
      <c r="G200" s="29" t="str">
        <f aca="false">IF(OR(E200="",F200=""),"",F200-E200)</f>
        <v/>
      </c>
      <c r="H200" s="3"/>
      <c r="I200" s="3"/>
      <c r="J200" s="3"/>
      <c r="K200" s="3"/>
      <c r="L200" s="3"/>
      <c r="M200" s="27"/>
      <c r="N200" s="28" t="str">
        <f aca="false">IF(AND(F200&lt;&gt;"",C200="Fer 9 + putter",D200=9),COUNTIFS($C$5:C200,"Fer 9 + putter",$D$5:D200,9,$F$5:F200,"&lt;&gt;"),"")</f>
        <v/>
      </c>
    </row>
    <row r="201" customFormat="false" ht="15" hidden="false" customHeight="false" outlineLevel="0" collapsed="false">
      <c r="A201" s="26"/>
      <c r="B201" s="3"/>
      <c r="C201" s="3"/>
      <c r="D201" s="3"/>
      <c r="E201" s="3"/>
      <c r="F201" s="3"/>
      <c r="G201" s="29" t="str">
        <f aca="false">IF(OR(E201="",F201=""),"",F201-E201)</f>
        <v/>
      </c>
      <c r="H201" s="3"/>
      <c r="I201" s="3"/>
      <c r="J201" s="3"/>
      <c r="K201" s="3"/>
      <c r="L201" s="3"/>
      <c r="M201" s="27"/>
      <c r="N201" s="28" t="str">
        <f aca="false">IF(AND(F201&lt;&gt;"",C201="Fer 9 + putter",D201=9),COUNTIFS($C$5:C201,"Fer 9 + putter",$D$5:D201,9,$F$5:F201,"&lt;&gt;"),"")</f>
        <v/>
      </c>
    </row>
    <row r="202" customFormat="false" ht="15" hidden="false" customHeight="false" outlineLevel="0" collapsed="false">
      <c r="A202" s="26"/>
      <c r="B202" s="3"/>
      <c r="C202" s="3"/>
      <c r="D202" s="3"/>
      <c r="E202" s="3"/>
      <c r="F202" s="3"/>
      <c r="G202" s="29" t="str">
        <f aca="false">IF(OR(E202="",F202=""),"",F202-E202)</f>
        <v/>
      </c>
      <c r="H202" s="3"/>
      <c r="I202" s="3"/>
      <c r="J202" s="3"/>
      <c r="K202" s="3"/>
      <c r="L202" s="3"/>
      <c r="M202" s="27"/>
      <c r="N202" s="28" t="str">
        <f aca="false">IF(AND(F202&lt;&gt;"",C202="Fer 9 + putter",D202=9),COUNTIFS($C$5:C202,"Fer 9 + putter",$D$5:D202,9,$F$5:F202,"&lt;&gt;"),"")</f>
        <v/>
      </c>
    </row>
    <row r="203" customFormat="false" ht="15" hidden="false" customHeight="false" outlineLevel="0" collapsed="false">
      <c r="A203" s="26"/>
      <c r="B203" s="3"/>
      <c r="C203" s="3"/>
      <c r="D203" s="3"/>
      <c r="E203" s="3"/>
      <c r="F203" s="3"/>
      <c r="G203" s="29" t="str">
        <f aca="false">IF(OR(E203="",F203=""),"",F203-E203)</f>
        <v/>
      </c>
      <c r="H203" s="3"/>
      <c r="I203" s="3"/>
      <c r="J203" s="3"/>
      <c r="K203" s="3"/>
      <c r="L203" s="3"/>
      <c r="M203" s="27"/>
      <c r="N203" s="28" t="str">
        <f aca="false">IF(AND(F203&lt;&gt;"",C203="Fer 9 + putter",D203=9),COUNTIFS($C$5:C203,"Fer 9 + putter",$D$5:D203,9,$F$5:F203,"&lt;&gt;"),"")</f>
        <v/>
      </c>
    </row>
    <row r="204" customFormat="false" ht="15" hidden="false" customHeight="false" outlineLevel="0" collapsed="false">
      <c r="A204" s="26"/>
      <c r="B204" s="3"/>
      <c r="C204" s="3"/>
      <c r="D204" s="3"/>
      <c r="E204" s="3"/>
      <c r="F204" s="3"/>
      <c r="G204" s="29" t="str">
        <f aca="false">IF(OR(E204="",F204=""),"",F204-E204)</f>
        <v/>
      </c>
      <c r="H204" s="3"/>
      <c r="I204" s="3"/>
      <c r="J204" s="3"/>
      <c r="K204" s="3"/>
      <c r="L204" s="3"/>
      <c r="M204" s="27"/>
      <c r="N204" s="28" t="str">
        <f aca="false">IF(AND(F204&lt;&gt;"",C204="Fer 9 + putter",D204=9),COUNTIFS($C$5:C204,"Fer 9 + putter",$D$5:D204,9,$F$5:F204,"&lt;&gt;"),"")</f>
        <v/>
      </c>
    </row>
    <row r="205" customFormat="false" ht="15" hidden="false" customHeight="false" outlineLevel="0" collapsed="false">
      <c r="A205" s="26"/>
      <c r="B205" s="3"/>
      <c r="C205" s="3"/>
      <c r="D205" s="3"/>
      <c r="E205" s="3"/>
      <c r="F205" s="3"/>
      <c r="G205" s="29" t="str">
        <f aca="false">IF(OR(E205="",F205=""),"",F205-E205)</f>
        <v/>
      </c>
      <c r="H205" s="3"/>
      <c r="I205" s="3"/>
      <c r="J205" s="3"/>
      <c r="K205" s="3"/>
      <c r="L205" s="3"/>
      <c r="M205" s="27"/>
      <c r="N205" s="28" t="str">
        <f aca="false">IF(AND(F205&lt;&gt;"",C205="Fer 9 + putter",D205=9),COUNTIFS($C$5:C205,"Fer 9 + putter",$D$5:D205,9,$F$5:F205,"&lt;&gt;"),"")</f>
        <v/>
      </c>
    </row>
    <row r="206" customFormat="false" ht="15" hidden="false" customHeight="false" outlineLevel="0" collapsed="false">
      <c r="A206" s="26"/>
      <c r="B206" s="3"/>
      <c r="C206" s="3"/>
      <c r="D206" s="3"/>
      <c r="E206" s="3"/>
      <c r="F206" s="3"/>
      <c r="G206" s="29" t="str">
        <f aca="false">IF(OR(E206="",F206=""),"",F206-E206)</f>
        <v/>
      </c>
      <c r="H206" s="3"/>
      <c r="I206" s="3"/>
      <c r="J206" s="3"/>
      <c r="K206" s="3"/>
      <c r="L206" s="3"/>
      <c r="M206" s="27"/>
      <c r="N206" s="28" t="str">
        <f aca="false">IF(AND(F206&lt;&gt;"",C206="Fer 9 + putter",D206=9),COUNTIFS($C$5:C206,"Fer 9 + putter",$D$5:D206,9,$F$5:F206,"&lt;&gt;"),"")</f>
        <v/>
      </c>
    </row>
    <row r="207" customFormat="false" ht="15" hidden="false" customHeight="false" outlineLevel="0" collapsed="false">
      <c r="A207" s="26"/>
      <c r="B207" s="3"/>
      <c r="C207" s="3"/>
      <c r="D207" s="3"/>
      <c r="E207" s="3"/>
      <c r="F207" s="3"/>
      <c r="G207" s="29" t="str">
        <f aca="false">IF(OR(E207="",F207=""),"",F207-E207)</f>
        <v/>
      </c>
      <c r="H207" s="3"/>
      <c r="I207" s="3"/>
      <c r="J207" s="3"/>
      <c r="K207" s="3"/>
      <c r="L207" s="3"/>
      <c r="M207" s="27"/>
      <c r="N207" s="28" t="str">
        <f aca="false">IF(AND(F207&lt;&gt;"",C207="Fer 9 + putter",D207=9),COUNTIFS($C$5:C207,"Fer 9 + putter",$D$5:D207,9,$F$5:F207,"&lt;&gt;"),"")</f>
        <v/>
      </c>
    </row>
    <row r="208" customFormat="false" ht="15" hidden="false" customHeight="false" outlineLevel="0" collapsed="false">
      <c r="A208" s="26"/>
      <c r="B208" s="3"/>
      <c r="C208" s="3"/>
      <c r="D208" s="3"/>
      <c r="E208" s="3"/>
      <c r="F208" s="3"/>
      <c r="G208" s="29" t="str">
        <f aca="false">IF(OR(E208="",F208=""),"",F208-E208)</f>
        <v/>
      </c>
      <c r="H208" s="3"/>
      <c r="I208" s="3"/>
      <c r="J208" s="3"/>
      <c r="K208" s="3"/>
      <c r="L208" s="3"/>
      <c r="M208" s="27"/>
      <c r="N208" s="28" t="str">
        <f aca="false">IF(AND(F208&lt;&gt;"",C208="Fer 9 + putter",D208=9),COUNTIFS($C$5:C208,"Fer 9 + putter",$D$5:D208,9,$F$5:F208,"&lt;&gt;"),"")</f>
        <v/>
      </c>
    </row>
    <row r="209" customFormat="false" ht="15" hidden="false" customHeight="false" outlineLevel="0" collapsed="false">
      <c r="A209" s="26"/>
      <c r="B209" s="3"/>
      <c r="C209" s="3"/>
      <c r="D209" s="3"/>
      <c r="E209" s="3"/>
      <c r="F209" s="3"/>
      <c r="G209" s="29" t="str">
        <f aca="false">IF(OR(E209="",F209=""),"",F209-E209)</f>
        <v/>
      </c>
      <c r="H209" s="3"/>
      <c r="I209" s="3"/>
      <c r="J209" s="3"/>
      <c r="K209" s="3"/>
      <c r="L209" s="3"/>
      <c r="M209" s="27"/>
      <c r="N209" s="28" t="str">
        <f aca="false">IF(AND(F209&lt;&gt;"",C209="Fer 9 + putter",D209=9),COUNTIFS($C$5:C209,"Fer 9 + putter",$D$5:D209,9,$F$5:F209,"&lt;&gt;"),"")</f>
        <v/>
      </c>
    </row>
    <row r="210" customFormat="false" ht="15" hidden="false" customHeight="false" outlineLevel="0" collapsed="false">
      <c r="A210" s="26"/>
      <c r="B210" s="3"/>
      <c r="C210" s="3"/>
      <c r="D210" s="3"/>
      <c r="E210" s="3"/>
      <c r="F210" s="3"/>
      <c r="G210" s="29" t="str">
        <f aca="false">IF(OR(E210="",F210=""),"",F210-E210)</f>
        <v/>
      </c>
      <c r="H210" s="3"/>
      <c r="I210" s="3"/>
      <c r="J210" s="3"/>
      <c r="K210" s="3"/>
      <c r="L210" s="3"/>
      <c r="M210" s="27"/>
      <c r="N210" s="28" t="str">
        <f aca="false">IF(AND(F210&lt;&gt;"",C210="Fer 9 + putter",D210=9),COUNTIFS($C$5:C210,"Fer 9 + putter",$D$5:D210,9,$F$5:F210,"&lt;&gt;"),"")</f>
        <v/>
      </c>
    </row>
    <row r="211" customFormat="false" ht="15" hidden="false" customHeight="false" outlineLevel="0" collapsed="false">
      <c r="A211" s="26"/>
      <c r="B211" s="3"/>
      <c r="C211" s="3"/>
      <c r="D211" s="3"/>
      <c r="E211" s="3"/>
      <c r="F211" s="3"/>
      <c r="G211" s="29" t="str">
        <f aca="false">IF(OR(E211="",F211=""),"",F211-E211)</f>
        <v/>
      </c>
      <c r="H211" s="3"/>
      <c r="I211" s="3"/>
      <c r="J211" s="3"/>
      <c r="K211" s="3"/>
      <c r="L211" s="3"/>
      <c r="M211" s="27"/>
      <c r="N211" s="28" t="str">
        <f aca="false">IF(AND(F211&lt;&gt;"",C211="Fer 9 + putter",D211=9),COUNTIFS($C$5:C211,"Fer 9 + putter",$D$5:D211,9,$F$5:F211,"&lt;&gt;"),"")</f>
        <v/>
      </c>
    </row>
    <row r="212" customFormat="false" ht="15" hidden="false" customHeight="false" outlineLevel="0" collapsed="false">
      <c r="A212" s="26"/>
      <c r="B212" s="3"/>
      <c r="C212" s="3"/>
      <c r="D212" s="3"/>
      <c r="E212" s="3"/>
      <c r="F212" s="3"/>
      <c r="G212" s="29" t="str">
        <f aca="false">IF(OR(E212="",F212=""),"",F212-E212)</f>
        <v/>
      </c>
      <c r="H212" s="3"/>
      <c r="I212" s="3"/>
      <c r="J212" s="3"/>
      <c r="K212" s="3"/>
      <c r="L212" s="3"/>
      <c r="M212" s="27"/>
      <c r="N212" s="28" t="str">
        <f aca="false">IF(AND(F212&lt;&gt;"",C212="Fer 9 + putter",D212=9),COUNTIFS($C$5:C212,"Fer 9 + putter",$D$5:D212,9,$F$5:F212,"&lt;&gt;"),"")</f>
        <v/>
      </c>
    </row>
    <row r="213" customFormat="false" ht="15" hidden="false" customHeight="false" outlineLevel="0" collapsed="false">
      <c r="A213" s="26"/>
      <c r="B213" s="3"/>
      <c r="C213" s="3"/>
      <c r="D213" s="3"/>
      <c r="E213" s="3"/>
      <c r="F213" s="3"/>
      <c r="G213" s="29" t="str">
        <f aca="false">IF(OR(E213="",F213=""),"",F213-E213)</f>
        <v/>
      </c>
      <c r="H213" s="3"/>
      <c r="I213" s="3"/>
      <c r="J213" s="3"/>
      <c r="K213" s="3"/>
      <c r="L213" s="3"/>
      <c r="M213" s="27"/>
      <c r="N213" s="28" t="str">
        <f aca="false">IF(AND(F213&lt;&gt;"",C213="Fer 9 + putter",D213=9),COUNTIFS($C$5:C213,"Fer 9 + putter",$D$5:D213,9,$F$5:F213,"&lt;&gt;"),"")</f>
        <v/>
      </c>
    </row>
    <row r="214" customFormat="false" ht="15" hidden="false" customHeight="false" outlineLevel="0" collapsed="false">
      <c r="A214" s="26"/>
      <c r="B214" s="3"/>
      <c r="C214" s="3"/>
      <c r="D214" s="3"/>
      <c r="E214" s="3"/>
      <c r="F214" s="3"/>
      <c r="G214" s="29" t="str">
        <f aca="false">IF(OR(E214="",F214=""),"",F214-E214)</f>
        <v/>
      </c>
      <c r="H214" s="3"/>
      <c r="I214" s="3"/>
      <c r="J214" s="3"/>
      <c r="K214" s="3"/>
      <c r="L214" s="3"/>
      <c r="M214" s="27"/>
      <c r="N214" s="28" t="str">
        <f aca="false">IF(AND(F214&lt;&gt;"",C214="Fer 9 + putter",D214=9),COUNTIFS($C$5:C214,"Fer 9 + putter",$D$5:D214,9,$F$5:F214,"&lt;&gt;"),"")</f>
        <v/>
      </c>
    </row>
    <row r="215" customFormat="false" ht="15" hidden="false" customHeight="false" outlineLevel="0" collapsed="false">
      <c r="A215" s="26"/>
      <c r="B215" s="3"/>
      <c r="C215" s="3"/>
      <c r="D215" s="3"/>
      <c r="E215" s="3"/>
      <c r="F215" s="3"/>
      <c r="G215" s="29" t="str">
        <f aca="false">IF(OR(E215="",F215=""),"",F215-E215)</f>
        <v/>
      </c>
      <c r="H215" s="3"/>
      <c r="I215" s="3"/>
      <c r="J215" s="3"/>
      <c r="K215" s="3"/>
      <c r="L215" s="3"/>
      <c r="M215" s="27"/>
      <c r="N215" s="28" t="str">
        <f aca="false">IF(AND(F215&lt;&gt;"",C215="Fer 9 + putter",D215=9),COUNTIFS($C$5:C215,"Fer 9 + putter",$D$5:D215,9,$F$5:F215,"&lt;&gt;"),"")</f>
        <v/>
      </c>
    </row>
    <row r="216" customFormat="false" ht="15" hidden="false" customHeight="false" outlineLevel="0" collapsed="false">
      <c r="A216" s="26"/>
      <c r="B216" s="3"/>
      <c r="C216" s="3"/>
      <c r="D216" s="3"/>
      <c r="E216" s="3"/>
      <c r="F216" s="3"/>
      <c r="G216" s="29" t="str">
        <f aca="false">IF(OR(E216="",F216=""),"",F216-E216)</f>
        <v/>
      </c>
      <c r="H216" s="3"/>
      <c r="I216" s="3"/>
      <c r="J216" s="3"/>
      <c r="K216" s="3"/>
      <c r="L216" s="3"/>
      <c r="M216" s="27"/>
      <c r="N216" s="28" t="str">
        <f aca="false">IF(AND(F216&lt;&gt;"",C216="Fer 9 + putter",D216=9),COUNTIFS($C$5:C216,"Fer 9 + putter",$D$5:D216,9,$F$5:F216,"&lt;&gt;"),"")</f>
        <v/>
      </c>
    </row>
    <row r="217" customFormat="false" ht="15" hidden="false" customHeight="false" outlineLevel="0" collapsed="false">
      <c r="A217" s="26"/>
      <c r="B217" s="3"/>
      <c r="C217" s="3"/>
      <c r="D217" s="3"/>
      <c r="E217" s="3"/>
      <c r="F217" s="3"/>
      <c r="G217" s="29" t="str">
        <f aca="false">IF(OR(E217="",F217=""),"",F217-E217)</f>
        <v/>
      </c>
      <c r="H217" s="3"/>
      <c r="I217" s="3"/>
      <c r="J217" s="3"/>
      <c r="K217" s="3"/>
      <c r="L217" s="3"/>
      <c r="M217" s="27"/>
      <c r="N217" s="28" t="str">
        <f aca="false">IF(AND(F217&lt;&gt;"",C217="Fer 9 + putter",D217=9),COUNTIFS($C$5:C217,"Fer 9 + putter",$D$5:D217,9,$F$5:F217,"&lt;&gt;"),"")</f>
        <v/>
      </c>
    </row>
    <row r="218" customFormat="false" ht="15" hidden="false" customHeight="false" outlineLevel="0" collapsed="false">
      <c r="A218" s="26"/>
      <c r="B218" s="3"/>
      <c r="C218" s="3"/>
      <c r="D218" s="3"/>
      <c r="E218" s="3"/>
      <c r="F218" s="3"/>
      <c r="G218" s="29" t="str">
        <f aca="false">IF(OR(E218="",F218=""),"",F218-E218)</f>
        <v/>
      </c>
      <c r="H218" s="3"/>
      <c r="I218" s="3"/>
      <c r="J218" s="3"/>
      <c r="K218" s="3"/>
      <c r="L218" s="3"/>
      <c r="M218" s="27"/>
      <c r="N218" s="28" t="str">
        <f aca="false">IF(AND(F218&lt;&gt;"",C218="Fer 9 + putter",D218=9),COUNTIFS($C$5:C218,"Fer 9 + putter",$D$5:D218,9,$F$5:F218,"&lt;&gt;"),"")</f>
        <v/>
      </c>
    </row>
    <row r="219" customFormat="false" ht="15" hidden="false" customHeight="false" outlineLevel="0" collapsed="false">
      <c r="A219" s="26"/>
      <c r="B219" s="3"/>
      <c r="C219" s="3"/>
      <c r="D219" s="3"/>
      <c r="E219" s="3"/>
      <c r="F219" s="3"/>
      <c r="G219" s="29" t="str">
        <f aca="false">IF(OR(E219="",F219=""),"",F219-E219)</f>
        <v/>
      </c>
      <c r="H219" s="3"/>
      <c r="I219" s="3"/>
      <c r="J219" s="3"/>
      <c r="K219" s="3"/>
      <c r="L219" s="3"/>
      <c r="M219" s="27"/>
      <c r="N219" s="28" t="str">
        <f aca="false">IF(AND(F219&lt;&gt;"",C219="Fer 9 + putter",D219=9),COUNTIFS($C$5:C219,"Fer 9 + putter",$D$5:D219,9,$F$5:F219,"&lt;&gt;"),"")</f>
        <v/>
      </c>
    </row>
    <row r="220" customFormat="false" ht="15" hidden="false" customHeight="false" outlineLevel="0" collapsed="false">
      <c r="A220" s="26"/>
      <c r="B220" s="3"/>
      <c r="C220" s="3"/>
      <c r="D220" s="3"/>
      <c r="E220" s="3"/>
      <c r="F220" s="3"/>
      <c r="G220" s="29" t="str">
        <f aca="false">IF(OR(E220="",F220=""),"",F220-E220)</f>
        <v/>
      </c>
      <c r="H220" s="3"/>
      <c r="I220" s="3"/>
      <c r="J220" s="3"/>
      <c r="K220" s="3"/>
      <c r="L220" s="3"/>
      <c r="M220" s="27"/>
      <c r="N220" s="28" t="str">
        <f aca="false">IF(AND(F220&lt;&gt;"",C220="Fer 9 + putter",D220=9),COUNTIFS($C$5:C220,"Fer 9 + putter",$D$5:D220,9,$F$5:F220,"&lt;&gt;"),"")</f>
        <v/>
      </c>
    </row>
    <row r="221" customFormat="false" ht="15" hidden="false" customHeight="false" outlineLevel="0" collapsed="false">
      <c r="A221" s="26"/>
      <c r="B221" s="3"/>
      <c r="C221" s="3"/>
      <c r="D221" s="3"/>
      <c r="E221" s="3"/>
      <c r="F221" s="3"/>
      <c r="G221" s="29" t="str">
        <f aca="false">IF(OR(E221="",F221=""),"",F221-E221)</f>
        <v/>
      </c>
      <c r="H221" s="3"/>
      <c r="I221" s="3"/>
      <c r="J221" s="3"/>
      <c r="K221" s="3"/>
      <c r="L221" s="3"/>
      <c r="M221" s="27"/>
      <c r="N221" s="28" t="str">
        <f aca="false">IF(AND(F221&lt;&gt;"",C221="Fer 9 + putter",D221=9),COUNTIFS($C$5:C221,"Fer 9 + putter",$D$5:D221,9,$F$5:F221,"&lt;&gt;"),"")</f>
        <v/>
      </c>
    </row>
    <row r="222" customFormat="false" ht="15" hidden="false" customHeight="false" outlineLevel="0" collapsed="false">
      <c r="A222" s="26"/>
      <c r="B222" s="3"/>
      <c r="C222" s="3"/>
      <c r="D222" s="3"/>
      <c r="E222" s="3"/>
      <c r="F222" s="3"/>
      <c r="G222" s="29" t="str">
        <f aca="false">IF(OR(E222="",F222=""),"",F222-E222)</f>
        <v/>
      </c>
      <c r="H222" s="3"/>
      <c r="I222" s="3"/>
      <c r="J222" s="3"/>
      <c r="K222" s="3"/>
      <c r="L222" s="3"/>
      <c r="M222" s="27"/>
      <c r="N222" s="28" t="str">
        <f aca="false">IF(AND(F222&lt;&gt;"",C222="Fer 9 + putter",D222=9),COUNTIFS($C$5:C222,"Fer 9 + putter",$D$5:D222,9,$F$5:F222,"&lt;&gt;"),"")</f>
        <v/>
      </c>
    </row>
    <row r="223" customFormat="false" ht="15" hidden="false" customHeight="false" outlineLevel="0" collapsed="false">
      <c r="A223" s="26"/>
      <c r="B223" s="3"/>
      <c r="C223" s="3"/>
      <c r="D223" s="3"/>
      <c r="E223" s="3"/>
      <c r="F223" s="3"/>
      <c r="G223" s="29" t="str">
        <f aca="false">IF(OR(E223="",F223=""),"",F223-E223)</f>
        <v/>
      </c>
      <c r="H223" s="3"/>
      <c r="I223" s="3"/>
      <c r="J223" s="3"/>
      <c r="K223" s="3"/>
      <c r="L223" s="3"/>
      <c r="M223" s="27"/>
      <c r="N223" s="28" t="str">
        <f aca="false">IF(AND(F223&lt;&gt;"",C223="Fer 9 + putter",D223=9),COUNTIFS($C$5:C223,"Fer 9 + putter",$D$5:D223,9,$F$5:F223,"&lt;&gt;"),"")</f>
        <v/>
      </c>
    </row>
    <row r="224" customFormat="false" ht="15" hidden="false" customHeight="false" outlineLevel="0" collapsed="false">
      <c r="A224" s="26"/>
      <c r="B224" s="3"/>
      <c r="C224" s="3"/>
      <c r="D224" s="3"/>
      <c r="E224" s="3"/>
      <c r="F224" s="3"/>
      <c r="G224" s="29" t="str">
        <f aca="false">IF(OR(E224="",F224=""),"",F224-E224)</f>
        <v/>
      </c>
      <c r="H224" s="3"/>
      <c r="I224" s="3"/>
      <c r="J224" s="3"/>
      <c r="K224" s="3"/>
      <c r="L224" s="3"/>
      <c r="M224" s="27"/>
      <c r="N224" s="28" t="str">
        <f aca="false">IF(AND(F224&lt;&gt;"",C224="Fer 9 + putter",D224=9),COUNTIFS($C$5:C224,"Fer 9 + putter",$D$5:D224,9,$F$5:F224,"&lt;&gt;"),"")</f>
        <v/>
      </c>
    </row>
    <row r="225" customFormat="false" ht="15" hidden="false" customHeight="false" outlineLevel="0" collapsed="false">
      <c r="A225" s="26"/>
      <c r="B225" s="3"/>
      <c r="C225" s="3"/>
      <c r="D225" s="3"/>
      <c r="E225" s="3"/>
      <c r="F225" s="3"/>
      <c r="G225" s="29" t="str">
        <f aca="false">IF(OR(E225="",F225=""),"",F225-E225)</f>
        <v/>
      </c>
      <c r="H225" s="3"/>
      <c r="I225" s="3"/>
      <c r="J225" s="3"/>
      <c r="K225" s="3"/>
      <c r="L225" s="3"/>
      <c r="M225" s="27"/>
      <c r="N225" s="28" t="str">
        <f aca="false">IF(AND(F225&lt;&gt;"",C225="Fer 9 + putter",D225=9),COUNTIFS($C$5:C225,"Fer 9 + putter",$D$5:D225,9,$F$5:F225,"&lt;&gt;"),"")</f>
        <v/>
      </c>
    </row>
    <row r="226" customFormat="false" ht="15" hidden="false" customHeight="false" outlineLevel="0" collapsed="false">
      <c r="A226" s="26"/>
      <c r="B226" s="3"/>
      <c r="C226" s="3"/>
      <c r="D226" s="3"/>
      <c r="E226" s="3"/>
      <c r="F226" s="3"/>
      <c r="G226" s="29" t="str">
        <f aca="false">IF(OR(E226="",F226=""),"",F226-E226)</f>
        <v/>
      </c>
      <c r="H226" s="3"/>
      <c r="I226" s="3"/>
      <c r="J226" s="3"/>
      <c r="K226" s="3"/>
      <c r="L226" s="3"/>
      <c r="M226" s="27"/>
      <c r="N226" s="28" t="str">
        <f aca="false">IF(AND(F226&lt;&gt;"",C226="Fer 9 + putter",D226=9),COUNTIFS($C$5:C226,"Fer 9 + putter",$D$5:D226,9,$F$5:F226,"&lt;&gt;"),"")</f>
        <v/>
      </c>
    </row>
    <row r="227" customFormat="false" ht="15" hidden="false" customHeight="false" outlineLevel="0" collapsed="false">
      <c r="A227" s="26"/>
      <c r="B227" s="3"/>
      <c r="C227" s="3"/>
      <c r="D227" s="3"/>
      <c r="E227" s="3"/>
      <c r="F227" s="3"/>
      <c r="G227" s="29" t="str">
        <f aca="false">IF(OR(E227="",F227=""),"",F227-E227)</f>
        <v/>
      </c>
      <c r="H227" s="3"/>
      <c r="I227" s="3"/>
      <c r="J227" s="3"/>
      <c r="K227" s="3"/>
      <c r="L227" s="3"/>
      <c r="M227" s="27"/>
      <c r="N227" s="28" t="str">
        <f aca="false">IF(AND(F227&lt;&gt;"",C227="Fer 9 + putter",D227=9),COUNTIFS($C$5:C227,"Fer 9 + putter",$D$5:D227,9,$F$5:F227,"&lt;&gt;"),"")</f>
        <v/>
      </c>
    </row>
    <row r="228" customFormat="false" ht="15" hidden="false" customHeight="false" outlineLevel="0" collapsed="false">
      <c r="A228" s="26"/>
      <c r="B228" s="3"/>
      <c r="C228" s="3"/>
      <c r="D228" s="3"/>
      <c r="E228" s="3"/>
      <c r="F228" s="3"/>
      <c r="G228" s="29" t="str">
        <f aca="false">IF(OR(E228="",F228=""),"",F228-E228)</f>
        <v/>
      </c>
      <c r="H228" s="3"/>
      <c r="I228" s="3"/>
      <c r="J228" s="3"/>
      <c r="K228" s="3"/>
      <c r="L228" s="3"/>
      <c r="M228" s="27"/>
      <c r="N228" s="28" t="str">
        <f aca="false">IF(AND(F228&lt;&gt;"",C228="Fer 9 + putter",D228=9),COUNTIFS($C$5:C228,"Fer 9 + putter",$D$5:D228,9,$F$5:F228,"&lt;&gt;"),"")</f>
        <v/>
      </c>
    </row>
    <row r="229" customFormat="false" ht="15" hidden="false" customHeight="false" outlineLevel="0" collapsed="false">
      <c r="A229" s="26"/>
      <c r="B229" s="3"/>
      <c r="C229" s="3"/>
      <c r="D229" s="3"/>
      <c r="E229" s="3"/>
      <c r="F229" s="3"/>
      <c r="G229" s="29" t="str">
        <f aca="false">IF(OR(E229="",F229=""),"",F229-E229)</f>
        <v/>
      </c>
      <c r="H229" s="3"/>
      <c r="I229" s="3"/>
      <c r="J229" s="3"/>
      <c r="K229" s="3"/>
      <c r="L229" s="3"/>
      <c r="M229" s="27"/>
      <c r="N229" s="28" t="str">
        <f aca="false">IF(AND(F229&lt;&gt;"",C229="Fer 9 + putter",D229=9),COUNTIFS($C$5:C229,"Fer 9 + putter",$D$5:D229,9,$F$5:F229,"&lt;&gt;"),"")</f>
        <v/>
      </c>
    </row>
    <row r="230" customFormat="false" ht="15" hidden="false" customHeight="false" outlineLevel="0" collapsed="false">
      <c r="A230" s="26"/>
      <c r="B230" s="3"/>
      <c r="C230" s="3"/>
      <c r="D230" s="3"/>
      <c r="E230" s="3"/>
      <c r="F230" s="3"/>
      <c r="G230" s="29" t="str">
        <f aca="false">IF(OR(E230="",F230=""),"",F230-E230)</f>
        <v/>
      </c>
      <c r="H230" s="3"/>
      <c r="I230" s="3"/>
      <c r="J230" s="3"/>
      <c r="K230" s="3"/>
      <c r="L230" s="3"/>
      <c r="M230" s="27"/>
      <c r="N230" s="28" t="str">
        <f aca="false">IF(AND(F230&lt;&gt;"",C230="Fer 9 + putter",D230=9),COUNTIFS($C$5:C230,"Fer 9 + putter",$D$5:D230,9,$F$5:F230,"&lt;&gt;"),"")</f>
        <v/>
      </c>
    </row>
    <row r="231" customFormat="false" ht="15" hidden="false" customHeight="false" outlineLevel="0" collapsed="false">
      <c r="A231" s="26"/>
      <c r="B231" s="3"/>
      <c r="C231" s="3"/>
      <c r="D231" s="3"/>
      <c r="E231" s="3"/>
      <c r="F231" s="3"/>
      <c r="G231" s="29" t="str">
        <f aca="false">IF(OR(E231="",F231=""),"",F231-E231)</f>
        <v/>
      </c>
      <c r="H231" s="3"/>
      <c r="I231" s="3"/>
      <c r="J231" s="3"/>
      <c r="K231" s="3"/>
      <c r="L231" s="3"/>
      <c r="M231" s="27"/>
      <c r="N231" s="28" t="str">
        <f aca="false">IF(AND(F231&lt;&gt;"",C231="Fer 9 + putter",D231=9),COUNTIFS($C$5:C231,"Fer 9 + putter",$D$5:D231,9,$F$5:F231,"&lt;&gt;"),"")</f>
        <v/>
      </c>
    </row>
    <row r="232" customFormat="false" ht="15" hidden="false" customHeight="false" outlineLevel="0" collapsed="false">
      <c r="A232" s="26"/>
      <c r="B232" s="3"/>
      <c r="C232" s="3"/>
      <c r="D232" s="3"/>
      <c r="E232" s="3"/>
      <c r="F232" s="3"/>
      <c r="G232" s="29" t="str">
        <f aca="false">IF(OR(E232="",F232=""),"",F232-E232)</f>
        <v/>
      </c>
      <c r="H232" s="3"/>
      <c r="I232" s="3"/>
      <c r="J232" s="3"/>
      <c r="K232" s="3"/>
      <c r="L232" s="3"/>
      <c r="M232" s="27"/>
      <c r="N232" s="28" t="str">
        <f aca="false">IF(AND(F232&lt;&gt;"",C232="Fer 9 + putter",D232=9),COUNTIFS($C$5:C232,"Fer 9 + putter",$D$5:D232,9,$F$5:F232,"&lt;&gt;"),"")</f>
        <v/>
      </c>
    </row>
    <row r="233" customFormat="false" ht="15" hidden="false" customHeight="false" outlineLevel="0" collapsed="false">
      <c r="A233" s="26"/>
      <c r="B233" s="3"/>
      <c r="C233" s="3"/>
      <c r="D233" s="3"/>
      <c r="E233" s="3"/>
      <c r="F233" s="3"/>
      <c r="G233" s="29" t="str">
        <f aca="false">IF(OR(E233="",F233=""),"",F233-E233)</f>
        <v/>
      </c>
      <c r="H233" s="3"/>
      <c r="I233" s="3"/>
      <c r="J233" s="3"/>
      <c r="K233" s="3"/>
      <c r="L233" s="3"/>
      <c r="M233" s="27"/>
      <c r="N233" s="28" t="str">
        <f aca="false">IF(AND(F233&lt;&gt;"",C233="Fer 9 + putter",D233=9),COUNTIFS($C$5:C233,"Fer 9 + putter",$D$5:D233,9,$F$5:F233,"&lt;&gt;"),"")</f>
        <v/>
      </c>
    </row>
    <row r="234" customFormat="false" ht="15" hidden="false" customHeight="false" outlineLevel="0" collapsed="false">
      <c r="A234" s="26"/>
      <c r="B234" s="3"/>
      <c r="C234" s="3"/>
      <c r="D234" s="3"/>
      <c r="E234" s="3"/>
      <c r="F234" s="3"/>
      <c r="G234" s="29" t="str">
        <f aca="false">IF(OR(E234="",F234=""),"",F234-E234)</f>
        <v/>
      </c>
      <c r="H234" s="3"/>
      <c r="I234" s="3"/>
      <c r="J234" s="3"/>
      <c r="K234" s="3"/>
      <c r="L234" s="3"/>
      <c r="M234" s="27"/>
      <c r="N234" s="28" t="str">
        <f aca="false">IF(AND(F234&lt;&gt;"",C234="Fer 9 + putter",D234=9),COUNTIFS($C$5:C234,"Fer 9 + putter",$D$5:D234,9,$F$5:F234,"&lt;&gt;"),"")</f>
        <v/>
      </c>
    </row>
    <row r="235" customFormat="false" ht="15" hidden="false" customHeight="false" outlineLevel="0" collapsed="false">
      <c r="A235" s="26"/>
      <c r="B235" s="3"/>
      <c r="C235" s="3"/>
      <c r="D235" s="3"/>
      <c r="E235" s="3"/>
      <c r="F235" s="3"/>
      <c r="G235" s="29" t="str">
        <f aca="false">IF(OR(E235="",F235=""),"",F235-E235)</f>
        <v/>
      </c>
      <c r="H235" s="3"/>
      <c r="I235" s="3"/>
      <c r="J235" s="3"/>
      <c r="K235" s="3"/>
      <c r="L235" s="3"/>
      <c r="M235" s="27"/>
      <c r="N235" s="28" t="str">
        <f aca="false">IF(AND(F235&lt;&gt;"",C235="Fer 9 + putter",D235=9),COUNTIFS($C$5:C235,"Fer 9 + putter",$D$5:D235,9,$F$5:F235,"&lt;&gt;"),"")</f>
        <v/>
      </c>
    </row>
    <row r="236" customFormat="false" ht="15" hidden="false" customHeight="false" outlineLevel="0" collapsed="false">
      <c r="A236" s="26"/>
      <c r="B236" s="3"/>
      <c r="C236" s="3"/>
      <c r="D236" s="3"/>
      <c r="E236" s="3"/>
      <c r="F236" s="3"/>
      <c r="G236" s="29" t="str">
        <f aca="false">IF(OR(E236="",F236=""),"",F236-E236)</f>
        <v/>
      </c>
      <c r="H236" s="3"/>
      <c r="I236" s="3"/>
      <c r="J236" s="3"/>
      <c r="K236" s="3"/>
      <c r="L236" s="3"/>
      <c r="M236" s="27"/>
      <c r="N236" s="28" t="str">
        <f aca="false">IF(AND(F236&lt;&gt;"",C236="Fer 9 + putter",D236=9),COUNTIFS($C$5:C236,"Fer 9 + putter",$D$5:D236,9,$F$5:F236,"&lt;&gt;"),"")</f>
        <v/>
      </c>
    </row>
    <row r="237" customFormat="false" ht="15" hidden="false" customHeight="false" outlineLevel="0" collapsed="false">
      <c r="A237" s="26"/>
      <c r="B237" s="3"/>
      <c r="C237" s="3"/>
      <c r="D237" s="3"/>
      <c r="E237" s="3"/>
      <c r="F237" s="3"/>
      <c r="G237" s="29" t="str">
        <f aca="false">IF(OR(E237="",F237=""),"",F237-E237)</f>
        <v/>
      </c>
      <c r="H237" s="3"/>
      <c r="I237" s="3"/>
      <c r="J237" s="3"/>
      <c r="K237" s="3"/>
      <c r="L237" s="3"/>
      <c r="M237" s="27"/>
      <c r="N237" s="28" t="str">
        <f aca="false">IF(AND(F237&lt;&gt;"",C237="Fer 9 + putter",D237=9),COUNTIFS($C$5:C237,"Fer 9 + putter",$D$5:D237,9,$F$5:F237,"&lt;&gt;"),"")</f>
        <v/>
      </c>
    </row>
    <row r="238" customFormat="false" ht="15" hidden="false" customHeight="false" outlineLevel="0" collapsed="false">
      <c r="A238" s="26"/>
      <c r="B238" s="3"/>
      <c r="C238" s="3"/>
      <c r="D238" s="3"/>
      <c r="E238" s="3"/>
      <c r="F238" s="3"/>
      <c r="G238" s="29" t="str">
        <f aca="false">IF(OR(E238="",F238=""),"",F238-E238)</f>
        <v/>
      </c>
      <c r="H238" s="3"/>
      <c r="I238" s="3"/>
      <c r="J238" s="3"/>
      <c r="K238" s="3"/>
      <c r="L238" s="3"/>
      <c r="M238" s="27"/>
      <c r="N238" s="28" t="str">
        <f aca="false">IF(AND(F238&lt;&gt;"",C238="Fer 9 + putter",D238=9),COUNTIFS($C$5:C238,"Fer 9 + putter",$D$5:D238,9,$F$5:F238,"&lt;&gt;"),"")</f>
        <v/>
      </c>
    </row>
    <row r="239" customFormat="false" ht="15" hidden="false" customHeight="false" outlineLevel="0" collapsed="false">
      <c r="A239" s="26"/>
      <c r="B239" s="3"/>
      <c r="C239" s="3"/>
      <c r="D239" s="3"/>
      <c r="E239" s="3"/>
      <c r="F239" s="3"/>
      <c r="G239" s="29" t="str">
        <f aca="false">IF(OR(E239="",F239=""),"",F239-E239)</f>
        <v/>
      </c>
      <c r="H239" s="3"/>
      <c r="I239" s="3"/>
      <c r="J239" s="3"/>
      <c r="K239" s="3"/>
      <c r="L239" s="3"/>
      <c r="M239" s="27"/>
      <c r="N239" s="28" t="str">
        <f aca="false">IF(AND(F239&lt;&gt;"",C239="Fer 9 + putter",D239=9),COUNTIFS($C$5:C239,"Fer 9 + putter",$D$5:D239,9,$F$5:F239,"&lt;&gt;"),"")</f>
        <v/>
      </c>
    </row>
    <row r="240" customFormat="false" ht="15" hidden="false" customHeight="false" outlineLevel="0" collapsed="false">
      <c r="A240" s="26"/>
      <c r="B240" s="3"/>
      <c r="C240" s="3"/>
      <c r="D240" s="3"/>
      <c r="E240" s="3"/>
      <c r="F240" s="3"/>
      <c r="G240" s="29" t="str">
        <f aca="false">IF(OR(E240="",F240=""),"",F240-E240)</f>
        <v/>
      </c>
      <c r="H240" s="3"/>
      <c r="I240" s="3"/>
      <c r="J240" s="3"/>
      <c r="K240" s="3"/>
      <c r="L240" s="3"/>
      <c r="M240" s="27"/>
      <c r="N240" s="28" t="str">
        <f aca="false">IF(AND(F240&lt;&gt;"",C240="Fer 9 + putter",D240=9),COUNTIFS($C$5:C240,"Fer 9 + putter",$D$5:D240,9,$F$5:F240,"&lt;&gt;"),"")</f>
        <v/>
      </c>
    </row>
    <row r="241" customFormat="false" ht="15" hidden="false" customHeight="false" outlineLevel="0" collapsed="false">
      <c r="A241" s="26"/>
      <c r="B241" s="3"/>
      <c r="C241" s="3"/>
      <c r="D241" s="3"/>
      <c r="E241" s="3"/>
      <c r="F241" s="3"/>
      <c r="G241" s="29" t="str">
        <f aca="false">IF(OR(E241="",F241=""),"",F241-E241)</f>
        <v/>
      </c>
      <c r="H241" s="3"/>
      <c r="I241" s="3"/>
      <c r="J241" s="3"/>
      <c r="K241" s="3"/>
      <c r="L241" s="3"/>
      <c r="M241" s="27"/>
      <c r="N241" s="28" t="str">
        <f aca="false">IF(AND(F241&lt;&gt;"",C241="Fer 9 + putter",D241=9),COUNTIFS($C$5:C241,"Fer 9 + putter",$D$5:D241,9,$F$5:F241,"&lt;&gt;"),"")</f>
        <v/>
      </c>
    </row>
    <row r="242" customFormat="false" ht="15" hidden="false" customHeight="false" outlineLevel="0" collapsed="false">
      <c r="A242" s="26"/>
      <c r="B242" s="3"/>
      <c r="C242" s="3"/>
      <c r="D242" s="3"/>
      <c r="E242" s="3"/>
      <c r="F242" s="3"/>
      <c r="G242" s="29" t="str">
        <f aca="false">IF(OR(E242="",F242=""),"",F242-E242)</f>
        <v/>
      </c>
      <c r="H242" s="3"/>
      <c r="I242" s="3"/>
      <c r="J242" s="3"/>
      <c r="K242" s="3"/>
      <c r="L242" s="3"/>
      <c r="M242" s="27"/>
      <c r="N242" s="28" t="str">
        <f aca="false">IF(AND(F242&lt;&gt;"",C242="Fer 9 + putter",D242=9),COUNTIFS($C$5:C242,"Fer 9 + putter",$D$5:D242,9,$F$5:F242,"&lt;&gt;"),"")</f>
        <v/>
      </c>
    </row>
    <row r="243" customFormat="false" ht="15" hidden="false" customHeight="false" outlineLevel="0" collapsed="false">
      <c r="A243" s="26"/>
      <c r="B243" s="3"/>
      <c r="C243" s="3"/>
      <c r="D243" s="3"/>
      <c r="E243" s="3"/>
      <c r="F243" s="3"/>
      <c r="G243" s="29" t="str">
        <f aca="false">IF(OR(E243="",F243=""),"",F243-E243)</f>
        <v/>
      </c>
      <c r="H243" s="3"/>
      <c r="I243" s="3"/>
      <c r="J243" s="3"/>
      <c r="K243" s="3"/>
      <c r="L243" s="3"/>
      <c r="M243" s="27"/>
      <c r="N243" s="28" t="str">
        <f aca="false">IF(AND(F243&lt;&gt;"",C243="Fer 9 + putter",D243=9),COUNTIFS($C$5:C243,"Fer 9 + putter",$D$5:D243,9,$F$5:F243,"&lt;&gt;"),"")</f>
        <v/>
      </c>
    </row>
    <row r="244" customFormat="false" ht="15" hidden="false" customHeight="false" outlineLevel="0" collapsed="false">
      <c r="A244" s="26"/>
      <c r="B244" s="3"/>
      <c r="C244" s="3"/>
      <c r="D244" s="3"/>
      <c r="E244" s="3"/>
      <c r="F244" s="3"/>
      <c r="G244" s="29" t="str">
        <f aca="false">IF(OR(E244="",F244=""),"",F244-E244)</f>
        <v/>
      </c>
      <c r="H244" s="3"/>
      <c r="I244" s="3"/>
      <c r="J244" s="3"/>
      <c r="K244" s="3"/>
      <c r="L244" s="3"/>
      <c r="M244" s="27"/>
      <c r="N244" s="28" t="str">
        <f aca="false">IF(AND(F244&lt;&gt;"",C244="Fer 9 + putter",D244=9),COUNTIFS($C$5:C244,"Fer 9 + putter",$D$5:D244,9,$F$5:F244,"&lt;&gt;"),"")</f>
        <v/>
      </c>
    </row>
    <row r="245" customFormat="false" ht="15" hidden="false" customHeight="false" outlineLevel="0" collapsed="false">
      <c r="A245" s="26"/>
      <c r="B245" s="3"/>
      <c r="C245" s="3"/>
      <c r="D245" s="3"/>
      <c r="E245" s="3"/>
      <c r="F245" s="3"/>
      <c r="G245" s="29" t="str">
        <f aca="false">IF(OR(E245="",F245=""),"",F245-E245)</f>
        <v/>
      </c>
      <c r="H245" s="3"/>
      <c r="I245" s="3"/>
      <c r="J245" s="3"/>
      <c r="K245" s="3"/>
      <c r="L245" s="3"/>
      <c r="M245" s="27"/>
      <c r="N245" s="28" t="str">
        <f aca="false">IF(AND(F245&lt;&gt;"",C245="Fer 9 + putter",D245=9),COUNTIFS($C$5:C245,"Fer 9 + putter",$D$5:D245,9,$F$5:F245,"&lt;&gt;"),"")</f>
        <v/>
      </c>
    </row>
    <row r="246" customFormat="false" ht="15" hidden="false" customHeight="false" outlineLevel="0" collapsed="false">
      <c r="A246" s="26"/>
      <c r="B246" s="3"/>
      <c r="C246" s="3"/>
      <c r="D246" s="3"/>
      <c r="E246" s="3"/>
      <c r="F246" s="3"/>
      <c r="G246" s="29" t="str">
        <f aca="false">IF(OR(E246="",F246=""),"",F246-E246)</f>
        <v/>
      </c>
      <c r="H246" s="3"/>
      <c r="I246" s="3"/>
      <c r="J246" s="3"/>
      <c r="K246" s="3"/>
      <c r="L246" s="3"/>
      <c r="M246" s="27"/>
      <c r="N246" s="28" t="str">
        <f aca="false">IF(AND(F246&lt;&gt;"",C246="Fer 9 + putter",D246=9),COUNTIFS($C$5:C246,"Fer 9 + putter",$D$5:D246,9,$F$5:F246,"&lt;&gt;"),"")</f>
        <v/>
      </c>
    </row>
    <row r="247" customFormat="false" ht="15" hidden="false" customHeight="false" outlineLevel="0" collapsed="false">
      <c r="A247" s="26"/>
      <c r="B247" s="3"/>
      <c r="C247" s="3"/>
      <c r="D247" s="3"/>
      <c r="E247" s="3"/>
      <c r="F247" s="3"/>
      <c r="G247" s="29" t="str">
        <f aca="false">IF(OR(E247="",F247=""),"",F247-E247)</f>
        <v/>
      </c>
      <c r="H247" s="3"/>
      <c r="I247" s="3"/>
      <c r="J247" s="3"/>
      <c r="K247" s="3"/>
      <c r="L247" s="3"/>
      <c r="M247" s="27"/>
      <c r="N247" s="28" t="str">
        <f aca="false">IF(AND(F247&lt;&gt;"",C247="Fer 9 + putter",D247=9),COUNTIFS($C$5:C247,"Fer 9 + putter",$D$5:D247,9,$F$5:F247,"&lt;&gt;"),"")</f>
        <v/>
      </c>
    </row>
    <row r="248" customFormat="false" ht="15" hidden="false" customHeight="false" outlineLevel="0" collapsed="false">
      <c r="A248" s="26"/>
      <c r="B248" s="3"/>
      <c r="C248" s="3"/>
      <c r="D248" s="3"/>
      <c r="E248" s="3"/>
      <c r="F248" s="3"/>
      <c r="G248" s="29" t="str">
        <f aca="false">IF(OR(E248="",F248=""),"",F248-E248)</f>
        <v/>
      </c>
      <c r="H248" s="3"/>
      <c r="I248" s="3"/>
      <c r="J248" s="3"/>
      <c r="K248" s="3"/>
      <c r="L248" s="3"/>
      <c r="M248" s="27"/>
      <c r="N248" s="28" t="str">
        <f aca="false">IF(AND(F248&lt;&gt;"",C248="Fer 9 + putter",D248=9),COUNTIFS($C$5:C248,"Fer 9 + putter",$D$5:D248,9,$F$5:F248,"&lt;&gt;"),"")</f>
        <v/>
      </c>
    </row>
    <row r="249" customFormat="false" ht="15" hidden="false" customHeight="false" outlineLevel="0" collapsed="false">
      <c r="A249" s="26"/>
      <c r="B249" s="3"/>
      <c r="C249" s="3"/>
      <c r="D249" s="3"/>
      <c r="E249" s="3"/>
      <c r="F249" s="3"/>
      <c r="G249" s="29" t="str">
        <f aca="false">IF(OR(E249="",F249=""),"",F249-E249)</f>
        <v/>
      </c>
      <c r="H249" s="3"/>
      <c r="I249" s="3"/>
      <c r="J249" s="3"/>
      <c r="K249" s="3"/>
      <c r="L249" s="3"/>
      <c r="M249" s="27"/>
      <c r="N249" s="28" t="str">
        <f aca="false">IF(AND(F249&lt;&gt;"",C249="Fer 9 + putter",D249=9),COUNTIFS($C$5:C249,"Fer 9 + putter",$D$5:D249,9,$F$5:F249,"&lt;&gt;"),"")</f>
        <v/>
      </c>
    </row>
    <row r="250" customFormat="false" ht="15" hidden="false" customHeight="false" outlineLevel="0" collapsed="false">
      <c r="A250" s="26"/>
      <c r="B250" s="3"/>
      <c r="C250" s="3"/>
      <c r="D250" s="3"/>
      <c r="E250" s="3"/>
      <c r="F250" s="3"/>
      <c r="G250" s="29" t="str">
        <f aca="false">IF(OR(E250="",F250=""),"",F250-E250)</f>
        <v/>
      </c>
      <c r="H250" s="3"/>
      <c r="I250" s="3"/>
      <c r="J250" s="3"/>
      <c r="K250" s="3"/>
      <c r="L250" s="3"/>
      <c r="M250" s="27"/>
      <c r="N250" s="28" t="str">
        <f aca="false">IF(AND(F250&lt;&gt;"",C250="Fer 9 + putter",D250=9),COUNTIFS($C$5:C250,"Fer 9 + putter",$D$5:D250,9,$F$5:F250,"&lt;&gt;"),"")</f>
        <v/>
      </c>
    </row>
    <row r="251" customFormat="false" ht="15" hidden="false" customHeight="false" outlineLevel="0" collapsed="false">
      <c r="A251" s="26"/>
      <c r="B251" s="3"/>
      <c r="C251" s="3"/>
      <c r="D251" s="3"/>
      <c r="E251" s="3"/>
      <c r="F251" s="3"/>
      <c r="G251" s="29" t="str">
        <f aca="false">IF(OR(E251="",F251=""),"",F251-E251)</f>
        <v/>
      </c>
      <c r="H251" s="3"/>
      <c r="I251" s="3"/>
      <c r="J251" s="3"/>
      <c r="K251" s="3"/>
      <c r="L251" s="3"/>
      <c r="M251" s="27"/>
      <c r="N251" s="28" t="str">
        <f aca="false">IF(AND(F251&lt;&gt;"",C251="Fer 9 + putter",D251=9),COUNTIFS($C$5:C251,"Fer 9 + putter",$D$5:D251,9,$F$5:F251,"&lt;&gt;"),"")</f>
        <v/>
      </c>
    </row>
    <row r="252" customFormat="false" ht="15" hidden="false" customHeight="false" outlineLevel="0" collapsed="false">
      <c r="A252" s="26"/>
      <c r="B252" s="3"/>
      <c r="C252" s="3"/>
      <c r="D252" s="3"/>
      <c r="E252" s="3"/>
      <c r="F252" s="3"/>
      <c r="G252" s="29" t="str">
        <f aca="false">IF(OR(E252="",F252=""),"",F252-E252)</f>
        <v/>
      </c>
      <c r="H252" s="3"/>
      <c r="I252" s="3"/>
      <c r="J252" s="3"/>
      <c r="K252" s="3"/>
      <c r="L252" s="3"/>
      <c r="M252" s="27"/>
      <c r="N252" s="28" t="str">
        <f aca="false">IF(AND(F252&lt;&gt;"",C252="Fer 9 + putter",D252=9),COUNTIFS($C$5:C252,"Fer 9 + putter",$D$5:D252,9,$F$5:F252,"&lt;&gt;"),"")</f>
        <v/>
      </c>
    </row>
    <row r="253" customFormat="false" ht="15" hidden="false" customHeight="false" outlineLevel="0" collapsed="false">
      <c r="A253" s="26"/>
      <c r="B253" s="3"/>
      <c r="C253" s="3"/>
      <c r="D253" s="3"/>
      <c r="E253" s="3"/>
      <c r="F253" s="3"/>
      <c r="G253" s="29" t="str">
        <f aca="false">IF(OR(E253="",F253=""),"",F253-E253)</f>
        <v/>
      </c>
      <c r="H253" s="3"/>
      <c r="I253" s="3"/>
      <c r="J253" s="3"/>
      <c r="K253" s="3"/>
      <c r="L253" s="3"/>
      <c r="M253" s="27"/>
      <c r="N253" s="28" t="str">
        <f aca="false">IF(AND(F253&lt;&gt;"",C253="Fer 9 + putter",D253=9),COUNTIFS($C$5:C253,"Fer 9 + putter",$D$5:D253,9,$F$5:F253,"&lt;&gt;"),"")</f>
        <v/>
      </c>
    </row>
    <row r="254" customFormat="false" ht="15" hidden="false" customHeight="false" outlineLevel="0" collapsed="false">
      <c r="A254" s="26"/>
      <c r="B254" s="3"/>
      <c r="C254" s="3"/>
      <c r="D254" s="3"/>
      <c r="E254" s="3"/>
      <c r="F254" s="3"/>
      <c r="G254" s="29" t="str">
        <f aca="false">IF(OR(E254="",F254=""),"",F254-E254)</f>
        <v/>
      </c>
      <c r="H254" s="3"/>
      <c r="I254" s="3"/>
      <c r="J254" s="3"/>
      <c r="K254" s="3"/>
      <c r="L254" s="3"/>
      <c r="M254" s="27"/>
      <c r="N254" s="28" t="str">
        <f aca="false">IF(AND(F254&lt;&gt;"",C254="Fer 9 + putter",D254=9),COUNTIFS($C$5:C254,"Fer 9 + putter",$D$5:D254,9,$F$5:F254,"&lt;&gt;"),"")</f>
        <v/>
      </c>
    </row>
    <row r="255" customFormat="false" ht="15" hidden="false" customHeight="false" outlineLevel="0" collapsed="false">
      <c r="A255" s="26"/>
      <c r="B255" s="3"/>
      <c r="C255" s="3"/>
      <c r="D255" s="3"/>
      <c r="E255" s="3"/>
      <c r="F255" s="3"/>
      <c r="G255" s="29" t="str">
        <f aca="false">IF(OR(E255="",F255=""),"",F255-E255)</f>
        <v/>
      </c>
      <c r="H255" s="3"/>
      <c r="I255" s="3"/>
      <c r="J255" s="3"/>
      <c r="K255" s="3"/>
      <c r="L255" s="3"/>
      <c r="M255" s="27"/>
      <c r="N255" s="28" t="str">
        <f aca="false">IF(AND(F255&lt;&gt;"",C255="Fer 9 + putter",D255=9),COUNTIFS($C$5:C255,"Fer 9 + putter",$D$5:D255,9,$F$5:F255,"&lt;&gt;"),"")</f>
        <v/>
      </c>
    </row>
    <row r="256" customFormat="false" ht="15" hidden="false" customHeight="false" outlineLevel="0" collapsed="false">
      <c r="A256" s="26"/>
      <c r="B256" s="3"/>
      <c r="C256" s="3"/>
      <c r="D256" s="3"/>
      <c r="E256" s="3"/>
      <c r="F256" s="3"/>
      <c r="G256" s="29" t="str">
        <f aca="false">IF(OR(E256="",F256=""),"",F256-E256)</f>
        <v/>
      </c>
      <c r="H256" s="3"/>
      <c r="I256" s="3"/>
      <c r="J256" s="3"/>
      <c r="K256" s="3"/>
      <c r="L256" s="3"/>
      <c r="M256" s="27"/>
      <c r="N256" s="28" t="str">
        <f aca="false">IF(AND(F256&lt;&gt;"",C256="Fer 9 + putter",D256=9),COUNTIFS($C$5:C256,"Fer 9 + putter",$D$5:D256,9,$F$5:F256,"&lt;&gt;"),"")</f>
        <v/>
      </c>
    </row>
    <row r="257" customFormat="false" ht="15" hidden="false" customHeight="false" outlineLevel="0" collapsed="false">
      <c r="A257" s="26"/>
      <c r="B257" s="3"/>
      <c r="C257" s="3"/>
      <c r="D257" s="3"/>
      <c r="E257" s="3"/>
      <c r="F257" s="3"/>
      <c r="G257" s="29" t="str">
        <f aca="false">IF(OR(E257="",F257=""),"",F257-E257)</f>
        <v/>
      </c>
      <c r="H257" s="3"/>
      <c r="I257" s="3"/>
      <c r="J257" s="3"/>
      <c r="K257" s="3"/>
      <c r="L257" s="3"/>
      <c r="M257" s="27"/>
      <c r="N257" s="28" t="str">
        <f aca="false">IF(AND(F257&lt;&gt;"",C257="Fer 9 + putter",D257=9),COUNTIFS($C$5:C257,"Fer 9 + putter",$D$5:D257,9,$F$5:F257,"&lt;&gt;"),"")</f>
        <v/>
      </c>
    </row>
    <row r="258" customFormat="false" ht="15" hidden="false" customHeight="false" outlineLevel="0" collapsed="false">
      <c r="A258" s="26"/>
      <c r="B258" s="3"/>
      <c r="C258" s="3"/>
      <c r="D258" s="3"/>
      <c r="E258" s="3"/>
      <c r="F258" s="3"/>
      <c r="G258" s="29" t="str">
        <f aca="false">IF(OR(E258="",F258=""),"",F258-E258)</f>
        <v/>
      </c>
      <c r="H258" s="3"/>
      <c r="I258" s="3"/>
      <c r="J258" s="3"/>
      <c r="K258" s="3"/>
      <c r="L258" s="3"/>
      <c r="M258" s="27"/>
      <c r="N258" s="28" t="str">
        <f aca="false">IF(AND(F258&lt;&gt;"",C258="Fer 9 + putter",D258=9),COUNTIFS($C$5:C258,"Fer 9 + putter",$D$5:D258,9,$F$5:F258,"&lt;&gt;"),"")</f>
        <v/>
      </c>
    </row>
    <row r="259" customFormat="false" ht="15" hidden="false" customHeight="false" outlineLevel="0" collapsed="false">
      <c r="A259" s="26"/>
      <c r="B259" s="3"/>
      <c r="C259" s="3"/>
      <c r="D259" s="3"/>
      <c r="E259" s="3"/>
      <c r="F259" s="3"/>
      <c r="G259" s="29" t="str">
        <f aca="false">IF(OR(E259="",F259=""),"",F259-E259)</f>
        <v/>
      </c>
      <c r="H259" s="3"/>
      <c r="I259" s="3"/>
      <c r="J259" s="3"/>
      <c r="K259" s="3"/>
      <c r="L259" s="3"/>
      <c r="M259" s="27"/>
      <c r="N259" s="28" t="str">
        <f aca="false">IF(AND(F259&lt;&gt;"",C259="Fer 9 + putter",D259=9),COUNTIFS($C$5:C259,"Fer 9 + putter",$D$5:D259,9,$F$5:F259,"&lt;&gt;"),"")</f>
        <v/>
      </c>
    </row>
    <row r="260" customFormat="false" ht="15" hidden="false" customHeight="false" outlineLevel="0" collapsed="false">
      <c r="A260" s="26"/>
      <c r="B260" s="3"/>
      <c r="C260" s="3"/>
      <c r="D260" s="3"/>
      <c r="E260" s="3"/>
      <c r="F260" s="3"/>
      <c r="G260" s="29" t="str">
        <f aca="false">IF(OR(E260="",F260=""),"",F260-E260)</f>
        <v/>
      </c>
      <c r="H260" s="3"/>
      <c r="I260" s="3"/>
      <c r="J260" s="3"/>
      <c r="K260" s="3"/>
      <c r="L260" s="3"/>
      <c r="M260" s="27"/>
      <c r="N260" s="28" t="str">
        <f aca="false">IF(AND(F260&lt;&gt;"",C260="Fer 9 + putter",D260=9),COUNTIFS($C$5:C260,"Fer 9 + putter",$D$5:D260,9,$F$5:F260,"&lt;&gt;"),"")</f>
        <v/>
      </c>
    </row>
    <row r="261" customFormat="false" ht="15" hidden="false" customHeight="false" outlineLevel="0" collapsed="false">
      <c r="A261" s="26"/>
      <c r="B261" s="3"/>
      <c r="C261" s="3"/>
      <c r="D261" s="3"/>
      <c r="E261" s="3"/>
      <c r="F261" s="3"/>
      <c r="G261" s="29" t="str">
        <f aca="false">IF(OR(E261="",F261=""),"",F261-E261)</f>
        <v/>
      </c>
      <c r="H261" s="3"/>
      <c r="I261" s="3"/>
      <c r="J261" s="3"/>
      <c r="K261" s="3"/>
      <c r="L261" s="3"/>
      <c r="M261" s="27"/>
      <c r="N261" s="28" t="str">
        <f aca="false">IF(AND(F261&lt;&gt;"",C261="Fer 9 + putter",D261=9),COUNTIFS($C$5:C261,"Fer 9 + putter",$D$5:D261,9,$F$5:F261,"&lt;&gt;"),"")</f>
        <v/>
      </c>
    </row>
    <row r="262" customFormat="false" ht="15" hidden="false" customHeight="false" outlineLevel="0" collapsed="false">
      <c r="A262" s="26"/>
      <c r="B262" s="3"/>
      <c r="C262" s="3"/>
      <c r="D262" s="3"/>
      <c r="E262" s="3"/>
      <c r="F262" s="3"/>
      <c r="G262" s="29" t="str">
        <f aca="false">IF(OR(E262="",F262=""),"",F262-E262)</f>
        <v/>
      </c>
      <c r="H262" s="3"/>
      <c r="I262" s="3"/>
      <c r="J262" s="3"/>
      <c r="K262" s="3"/>
      <c r="L262" s="3"/>
      <c r="M262" s="27"/>
      <c r="N262" s="28" t="str">
        <f aca="false">IF(AND(F262&lt;&gt;"",C262="Fer 9 + putter",D262=9),COUNTIFS($C$5:C262,"Fer 9 + putter",$D$5:D262,9,$F$5:F262,"&lt;&gt;"),"")</f>
        <v/>
      </c>
    </row>
    <row r="263" customFormat="false" ht="15" hidden="false" customHeight="false" outlineLevel="0" collapsed="false">
      <c r="A263" s="26"/>
      <c r="B263" s="3"/>
      <c r="C263" s="3"/>
      <c r="D263" s="3"/>
      <c r="E263" s="3"/>
      <c r="F263" s="3"/>
      <c r="G263" s="29" t="str">
        <f aca="false">IF(OR(E263="",F263=""),"",F263-E263)</f>
        <v/>
      </c>
      <c r="H263" s="3"/>
      <c r="I263" s="3"/>
      <c r="J263" s="3"/>
      <c r="K263" s="3"/>
      <c r="L263" s="3"/>
      <c r="M263" s="27"/>
      <c r="N263" s="28" t="str">
        <f aca="false">IF(AND(F263&lt;&gt;"",C263="Fer 9 + putter",D263=9),COUNTIFS($C$5:C263,"Fer 9 + putter",$D$5:D263,9,$F$5:F263,"&lt;&gt;"),"")</f>
        <v/>
      </c>
    </row>
    <row r="264" customFormat="false" ht="15" hidden="false" customHeight="false" outlineLevel="0" collapsed="false">
      <c r="A264" s="26"/>
      <c r="B264" s="3"/>
      <c r="C264" s="3"/>
      <c r="D264" s="3"/>
      <c r="E264" s="3"/>
      <c r="F264" s="3"/>
      <c r="G264" s="29" t="str">
        <f aca="false">IF(OR(E264="",F264=""),"",F264-E264)</f>
        <v/>
      </c>
      <c r="H264" s="3"/>
      <c r="I264" s="3"/>
      <c r="J264" s="3"/>
      <c r="K264" s="3"/>
      <c r="L264" s="3"/>
      <c r="M264" s="27"/>
      <c r="N264" s="28" t="str">
        <f aca="false">IF(AND(F264&lt;&gt;"",C264="Fer 9 + putter",D264=9),COUNTIFS($C$5:C264,"Fer 9 + putter",$D$5:D264,9,$F$5:F264,"&lt;&gt;"),"")</f>
        <v/>
      </c>
    </row>
    <row r="265" customFormat="false" ht="15" hidden="false" customHeight="false" outlineLevel="0" collapsed="false">
      <c r="A265" s="26"/>
      <c r="B265" s="3"/>
      <c r="C265" s="3"/>
      <c r="D265" s="3"/>
      <c r="E265" s="3"/>
      <c r="F265" s="3"/>
      <c r="G265" s="29" t="str">
        <f aca="false">IF(OR(E265="",F265=""),"",F265-E265)</f>
        <v/>
      </c>
      <c r="H265" s="3"/>
      <c r="I265" s="3"/>
      <c r="J265" s="3"/>
      <c r="K265" s="3"/>
      <c r="L265" s="3"/>
      <c r="M265" s="27"/>
      <c r="N265" s="28" t="str">
        <f aca="false">IF(AND(F265&lt;&gt;"",C265="Fer 9 + putter",D265=9),COUNTIFS($C$5:C265,"Fer 9 + putter",$D$5:D265,9,$F$5:F265,"&lt;&gt;"),"")</f>
        <v/>
      </c>
    </row>
    <row r="266" customFormat="false" ht="15" hidden="false" customHeight="false" outlineLevel="0" collapsed="false">
      <c r="A266" s="26"/>
      <c r="B266" s="3"/>
      <c r="C266" s="3"/>
      <c r="D266" s="3"/>
      <c r="E266" s="3"/>
      <c r="F266" s="3"/>
      <c r="G266" s="29" t="str">
        <f aca="false">IF(OR(E266="",F266=""),"",F266-E266)</f>
        <v/>
      </c>
      <c r="H266" s="3"/>
      <c r="I266" s="3"/>
      <c r="J266" s="3"/>
      <c r="K266" s="3"/>
      <c r="L266" s="3"/>
      <c r="M266" s="27"/>
      <c r="N266" s="28" t="str">
        <f aca="false">IF(AND(F266&lt;&gt;"",C266="Fer 9 + putter",D266=9),COUNTIFS($C$5:C266,"Fer 9 + putter",$D$5:D266,9,$F$5:F266,"&lt;&gt;"),"")</f>
        <v/>
      </c>
    </row>
    <row r="267" customFormat="false" ht="15" hidden="false" customHeight="false" outlineLevel="0" collapsed="false">
      <c r="A267" s="26"/>
      <c r="B267" s="3"/>
      <c r="C267" s="3"/>
      <c r="D267" s="3"/>
      <c r="E267" s="3"/>
      <c r="F267" s="3"/>
      <c r="G267" s="29" t="str">
        <f aca="false">IF(OR(E267="",F267=""),"",F267-E267)</f>
        <v/>
      </c>
      <c r="H267" s="3"/>
      <c r="I267" s="3"/>
      <c r="J267" s="3"/>
      <c r="K267" s="3"/>
      <c r="L267" s="3"/>
      <c r="M267" s="27"/>
      <c r="N267" s="28" t="str">
        <f aca="false">IF(AND(F267&lt;&gt;"",C267="Fer 9 + putter",D267=9),COUNTIFS($C$5:C267,"Fer 9 + putter",$D$5:D267,9,$F$5:F267,"&lt;&gt;"),"")</f>
        <v/>
      </c>
    </row>
    <row r="268" customFormat="false" ht="15" hidden="false" customHeight="false" outlineLevel="0" collapsed="false">
      <c r="A268" s="26"/>
      <c r="B268" s="3"/>
      <c r="C268" s="3"/>
      <c r="D268" s="3"/>
      <c r="E268" s="3"/>
      <c r="F268" s="3"/>
      <c r="G268" s="29" t="str">
        <f aca="false">IF(OR(E268="",F268=""),"",F268-E268)</f>
        <v/>
      </c>
      <c r="H268" s="3"/>
      <c r="I268" s="3"/>
      <c r="J268" s="3"/>
      <c r="K268" s="3"/>
      <c r="L268" s="3"/>
      <c r="M268" s="27"/>
      <c r="N268" s="28" t="str">
        <f aca="false">IF(AND(F268&lt;&gt;"",C268="Fer 9 + putter",D268=9),COUNTIFS($C$5:C268,"Fer 9 + putter",$D$5:D268,9,$F$5:F268,"&lt;&gt;"),"")</f>
        <v/>
      </c>
    </row>
    <row r="269" customFormat="false" ht="15" hidden="false" customHeight="false" outlineLevel="0" collapsed="false">
      <c r="A269" s="26"/>
      <c r="B269" s="3"/>
      <c r="C269" s="3"/>
      <c r="D269" s="3"/>
      <c r="E269" s="3"/>
      <c r="F269" s="3"/>
      <c r="G269" s="29" t="str">
        <f aca="false">IF(OR(E269="",F269=""),"",F269-E269)</f>
        <v/>
      </c>
      <c r="H269" s="3"/>
      <c r="I269" s="3"/>
      <c r="J269" s="3"/>
      <c r="K269" s="3"/>
      <c r="L269" s="3"/>
      <c r="M269" s="27"/>
      <c r="N269" s="28" t="str">
        <f aca="false">IF(AND(F269&lt;&gt;"",C269="Fer 9 + putter",D269=9),COUNTIFS($C$5:C269,"Fer 9 + putter",$D$5:D269,9,$F$5:F269,"&lt;&gt;"),"")</f>
        <v/>
      </c>
    </row>
    <row r="270" customFormat="false" ht="15" hidden="false" customHeight="false" outlineLevel="0" collapsed="false">
      <c r="A270" s="26"/>
      <c r="B270" s="3"/>
      <c r="C270" s="3"/>
      <c r="D270" s="3"/>
      <c r="E270" s="3"/>
      <c r="F270" s="3"/>
      <c r="G270" s="29" t="str">
        <f aca="false">IF(OR(E270="",F270=""),"",F270-E270)</f>
        <v/>
      </c>
      <c r="H270" s="3"/>
      <c r="I270" s="3"/>
      <c r="J270" s="3"/>
      <c r="K270" s="3"/>
      <c r="L270" s="3"/>
      <c r="M270" s="27"/>
      <c r="N270" s="28" t="str">
        <f aca="false">IF(AND(F270&lt;&gt;"",C270="Fer 9 + putter",D270=9),COUNTIFS($C$5:C270,"Fer 9 + putter",$D$5:D270,9,$F$5:F270,"&lt;&gt;"),"")</f>
        <v/>
      </c>
    </row>
    <row r="271" customFormat="false" ht="15" hidden="false" customHeight="false" outlineLevel="0" collapsed="false">
      <c r="A271" s="26"/>
      <c r="B271" s="3"/>
      <c r="C271" s="3"/>
      <c r="D271" s="3"/>
      <c r="E271" s="3"/>
      <c r="F271" s="3"/>
      <c r="G271" s="29" t="str">
        <f aca="false">IF(OR(E271="",F271=""),"",F271-E271)</f>
        <v/>
      </c>
      <c r="H271" s="3"/>
      <c r="I271" s="3"/>
      <c r="J271" s="3"/>
      <c r="K271" s="3"/>
      <c r="L271" s="3"/>
      <c r="M271" s="27"/>
      <c r="N271" s="28" t="str">
        <f aca="false">IF(AND(F271&lt;&gt;"",C271="Fer 9 + putter",D271=9),COUNTIFS($C$5:C271,"Fer 9 + putter",$D$5:D271,9,$F$5:F271,"&lt;&gt;"),"")</f>
        <v/>
      </c>
    </row>
    <row r="272" customFormat="false" ht="15" hidden="false" customHeight="false" outlineLevel="0" collapsed="false">
      <c r="A272" s="26"/>
      <c r="B272" s="3"/>
      <c r="C272" s="3"/>
      <c r="D272" s="3"/>
      <c r="E272" s="3"/>
      <c r="F272" s="3"/>
      <c r="G272" s="29" t="str">
        <f aca="false">IF(OR(E272="",F272=""),"",F272-E272)</f>
        <v/>
      </c>
      <c r="H272" s="3"/>
      <c r="I272" s="3"/>
      <c r="J272" s="3"/>
      <c r="K272" s="3"/>
      <c r="L272" s="3"/>
      <c r="M272" s="27"/>
      <c r="N272" s="28" t="str">
        <f aca="false">IF(AND(F272&lt;&gt;"",C272="Fer 9 + putter",D272=9),COUNTIFS($C$5:C272,"Fer 9 + putter",$D$5:D272,9,$F$5:F272,"&lt;&gt;"),"")</f>
        <v/>
      </c>
    </row>
    <row r="273" customFormat="false" ht="15" hidden="false" customHeight="false" outlineLevel="0" collapsed="false">
      <c r="A273" s="26"/>
      <c r="B273" s="3"/>
      <c r="C273" s="3"/>
      <c r="D273" s="3"/>
      <c r="E273" s="3"/>
      <c r="F273" s="3"/>
      <c r="G273" s="29" t="str">
        <f aca="false">IF(OR(E273="",F273=""),"",F273-E273)</f>
        <v/>
      </c>
      <c r="H273" s="3"/>
      <c r="I273" s="3"/>
      <c r="J273" s="3"/>
      <c r="K273" s="3"/>
      <c r="L273" s="3"/>
      <c r="M273" s="27"/>
      <c r="N273" s="28" t="str">
        <f aca="false">IF(AND(F273&lt;&gt;"",C273="Fer 9 + putter",D273=9),COUNTIFS($C$5:C273,"Fer 9 + putter",$D$5:D273,9,$F$5:F273,"&lt;&gt;"),"")</f>
        <v/>
      </c>
    </row>
    <row r="274" customFormat="false" ht="15" hidden="false" customHeight="false" outlineLevel="0" collapsed="false">
      <c r="A274" s="26"/>
      <c r="B274" s="3"/>
      <c r="C274" s="3"/>
      <c r="D274" s="3"/>
      <c r="E274" s="3"/>
      <c r="F274" s="3"/>
      <c r="G274" s="29" t="str">
        <f aca="false">IF(OR(E274="",F274=""),"",F274-E274)</f>
        <v/>
      </c>
      <c r="H274" s="3"/>
      <c r="I274" s="3"/>
      <c r="J274" s="3"/>
      <c r="K274" s="3"/>
      <c r="L274" s="3"/>
      <c r="M274" s="27"/>
      <c r="N274" s="28" t="str">
        <f aca="false">IF(AND(F274&lt;&gt;"",C274="Fer 9 + putter",D274=9),COUNTIFS($C$5:C274,"Fer 9 + putter",$D$5:D274,9,$F$5:F274,"&lt;&gt;"),"")</f>
        <v/>
      </c>
    </row>
    <row r="275" customFormat="false" ht="15" hidden="false" customHeight="false" outlineLevel="0" collapsed="false">
      <c r="A275" s="26"/>
      <c r="B275" s="3"/>
      <c r="C275" s="3"/>
      <c r="D275" s="3"/>
      <c r="E275" s="3"/>
      <c r="F275" s="3"/>
      <c r="G275" s="29" t="str">
        <f aca="false">IF(OR(E275="",F275=""),"",F275-E275)</f>
        <v/>
      </c>
      <c r="H275" s="3"/>
      <c r="I275" s="3"/>
      <c r="J275" s="3"/>
      <c r="K275" s="3"/>
      <c r="L275" s="3"/>
      <c r="M275" s="27"/>
      <c r="N275" s="28" t="str">
        <f aca="false">IF(AND(F275&lt;&gt;"",C275="Fer 9 + putter",D275=9),COUNTIFS($C$5:C275,"Fer 9 + putter",$D$5:D275,9,$F$5:F275,"&lt;&gt;"),"")</f>
        <v/>
      </c>
    </row>
    <row r="276" customFormat="false" ht="15" hidden="false" customHeight="false" outlineLevel="0" collapsed="false">
      <c r="A276" s="26"/>
      <c r="B276" s="3"/>
      <c r="C276" s="3"/>
      <c r="D276" s="3"/>
      <c r="E276" s="3"/>
      <c r="F276" s="3"/>
      <c r="G276" s="29" t="str">
        <f aca="false">IF(OR(E276="",F276=""),"",F276-E276)</f>
        <v/>
      </c>
      <c r="H276" s="3"/>
      <c r="I276" s="3"/>
      <c r="J276" s="3"/>
      <c r="K276" s="3"/>
      <c r="L276" s="3"/>
      <c r="M276" s="27"/>
      <c r="N276" s="28" t="str">
        <f aca="false">IF(AND(F276&lt;&gt;"",C276="Fer 9 + putter",D276=9),COUNTIFS($C$5:C276,"Fer 9 + putter",$D$5:D276,9,$F$5:F276,"&lt;&gt;"),"")</f>
        <v/>
      </c>
    </row>
    <row r="277" customFormat="false" ht="15" hidden="false" customHeight="false" outlineLevel="0" collapsed="false">
      <c r="A277" s="26"/>
      <c r="B277" s="3"/>
      <c r="C277" s="3"/>
      <c r="D277" s="3"/>
      <c r="E277" s="3"/>
      <c r="F277" s="3"/>
      <c r="G277" s="29" t="str">
        <f aca="false">IF(OR(E277="",F277=""),"",F277-E277)</f>
        <v/>
      </c>
      <c r="H277" s="3"/>
      <c r="I277" s="3"/>
      <c r="J277" s="3"/>
      <c r="K277" s="3"/>
      <c r="L277" s="3"/>
      <c r="M277" s="27"/>
      <c r="N277" s="28" t="str">
        <f aca="false">IF(AND(F277&lt;&gt;"",C277="Fer 9 + putter",D277=9),COUNTIFS($C$5:C277,"Fer 9 + putter",$D$5:D277,9,$F$5:F277,"&lt;&gt;"),"")</f>
        <v/>
      </c>
    </row>
    <row r="278" customFormat="false" ht="15" hidden="false" customHeight="false" outlineLevel="0" collapsed="false">
      <c r="A278" s="26"/>
      <c r="B278" s="3"/>
      <c r="C278" s="3"/>
      <c r="D278" s="3"/>
      <c r="E278" s="3"/>
      <c r="F278" s="3"/>
      <c r="G278" s="29" t="str">
        <f aca="false">IF(OR(E278="",F278=""),"",F278-E278)</f>
        <v/>
      </c>
      <c r="H278" s="3"/>
      <c r="I278" s="3"/>
      <c r="J278" s="3"/>
      <c r="K278" s="3"/>
      <c r="L278" s="3"/>
      <c r="M278" s="27"/>
      <c r="N278" s="28" t="str">
        <f aca="false">IF(AND(F278&lt;&gt;"",C278="Fer 9 + putter",D278=9),COUNTIFS($C$5:C278,"Fer 9 + putter",$D$5:D278,9,$F$5:F278,"&lt;&gt;"),"")</f>
        <v/>
      </c>
    </row>
    <row r="279" customFormat="false" ht="15" hidden="false" customHeight="false" outlineLevel="0" collapsed="false">
      <c r="A279" s="26"/>
      <c r="B279" s="3"/>
      <c r="C279" s="3"/>
      <c r="D279" s="3"/>
      <c r="E279" s="3"/>
      <c r="F279" s="3"/>
      <c r="G279" s="29" t="str">
        <f aca="false">IF(OR(E279="",F279=""),"",F279-E279)</f>
        <v/>
      </c>
      <c r="H279" s="3"/>
      <c r="I279" s="3"/>
      <c r="J279" s="3"/>
      <c r="K279" s="3"/>
      <c r="L279" s="3"/>
      <c r="M279" s="27"/>
      <c r="N279" s="28" t="str">
        <f aca="false">IF(AND(F279&lt;&gt;"",C279="Fer 9 + putter",D279=9),COUNTIFS($C$5:C279,"Fer 9 + putter",$D$5:D279,9,$F$5:F279,"&lt;&gt;"),"")</f>
        <v/>
      </c>
    </row>
    <row r="280" customFormat="false" ht="15" hidden="false" customHeight="false" outlineLevel="0" collapsed="false">
      <c r="A280" s="26"/>
      <c r="B280" s="3"/>
      <c r="C280" s="3"/>
      <c r="D280" s="3"/>
      <c r="E280" s="3"/>
      <c r="F280" s="3"/>
      <c r="G280" s="29" t="str">
        <f aca="false">IF(OR(E280="",F280=""),"",F280-E280)</f>
        <v/>
      </c>
      <c r="H280" s="3"/>
      <c r="I280" s="3"/>
      <c r="J280" s="3"/>
      <c r="K280" s="3"/>
      <c r="L280" s="3"/>
      <c r="M280" s="27"/>
      <c r="N280" s="28" t="str">
        <f aca="false">IF(AND(F280&lt;&gt;"",C280="Fer 9 + putter",D280=9),COUNTIFS($C$5:C280,"Fer 9 + putter",$D$5:D280,9,$F$5:F280,"&lt;&gt;"),"")</f>
        <v/>
      </c>
    </row>
    <row r="281" customFormat="false" ht="15" hidden="false" customHeight="false" outlineLevel="0" collapsed="false">
      <c r="A281" s="26"/>
      <c r="B281" s="3"/>
      <c r="C281" s="3"/>
      <c r="D281" s="3"/>
      <c r="E281" s="3"/>
      <c r="F281" s="3"/>
      <c r="G281" s="29" t="str">
        <f aca="false">IF(OR(E281="",F281=""),"",F281-E281)</f>
        <v/>
      </c>
      <c r="H281" s="3"/>
      <c r="I281" s="3"/>
      <c r="J281" s="3"/>
      <c r="K281" s="3"/>
      <c r="L281" s="3"/>
      <c r="M281" s="27"/>
      <c r="N281" s="28" t="str">
        <f aca="false">IF(AND(F281&lt;&gt;"",C281="Fer 9 + putter",D281=9),COUNTIFS($C$5:C281,"Fer 9 + putter",$D$5:D281,9,$F$5:F281,"&lt;&gt;"),"")</f>
        <v/>
      </c>
    </row>
    <row r="282" customFormat="false" ht="15" hidden="false" customHeight="false" outlineLevel="0" collapsed="false">
      <c r="A282" s="26"/>
      <c r="B282" s="3"/>
      <c r="C282" s="3"/>
      <c r="D282" s="3"/>
      <c r="E282" s="3"/>
      <c r="F282" s="3"/>
      <c r="G282" s="29" t="str">
        <f aca="false">IF(OR(E282="",F282=""),"",F282-E282)</f>
        <v/>
      </c>
      <c r="H282" s="3"/>
      <c r="I282" s="3"/>
      <c r="J282" s="3"/>
      <c r="K282" s="3"/>
      <c r="L282" s="3"/>
      <c r="M282" s="27"/>
      <c r="N282" s="28" t="str">
        <f aca="false">IF(AND(F282&lt;&gt;"",C282="Fer 9 + putter",D282=9),COUNTIFS($C$5:C282,"Fer 9 + putter",$D$5:D282,9,$F$5:F282,"&lt;&gt;"),"")</f>
        <v/>
      </c>
    </row>
    <row r="283" customFormat="false" ht="15" hidden="false" customHeight="false" outlineLevel="0" collapsed="false">
      <c r="A283" s="26"/>
      <c r="B283" s="3"/>
      <c r="C283" s="3"/>
      <c r="D283" s="3"/>
      <c r="E283" s="3"/>
      <c r="F283" s="3"/>
      <c r="G283" s="29" t="str">
        <f aca="false">IF(OR(E283="",F283=""),"",F283-E283)</f>
        <v/>
      </c>
      <c r="H283" s="3"/>
      <c r="I283" s="3"/>
      <c r="J283" s="3"/>
      <c r="K283" s="3"/>
      <c r="L283" s="3"/>
      <c r="M283" s="27"/>
      <c r="N283" s="28" t="str">
        <f aca="false">IF(AND(F283&lt;&gt;"",C283="Fer 9 + putter",D283=9),COUNTIFS($C$5:C283,"Fer 9 + putter",$D$5:D283,9,$F$5:F283,"&lt;&gt;"),"")</f>
        <v/>
      </c>
    </row>
    <row r="284" customFormat="false" ht="15" hidden="false" customHeight="false" outlineLevel="0" collapsed="false">
      <c r="A284" s="26"/>
      <c r="B284" s="3"/>
      <c r="C284" s="3"/>
      <c r="D284" s="3"/>
      <c r="E284" s="3"/>
      <c r="F284" s="3"/>
      <c r="G284" s="29" t="str">
        <f aca="false">IF(OR(E284="",F284=""),"",F284-E284)</f>
        <v/>
      </c>
      <c r="H284" s="3"/>
      <c r="I284" s="3"/>
      <c r="J284" s="3"/>
      <c r="K284" s="3"/>
      <c r="L284" s="3"/>
      <c r="M284" s="27"/>
      <c r="N284" s="28" t="str">
        <f aca="false">IF(AND(F284&lt;&gt;"",C284="Fer 9 + putter",D284=9),COUNTIFS($C$5:C284,"Fer 9 + putter",$D$5:D284,9,$F$5:F284,"&lt;&gt;"),"")</f>
        <v/>
      </c>
    </row>
    <row r="285" customFormat="false" ht="15" hidden="false" customHeight="false" outlineLevel="0" collapsed="false">
      <c r="A285" s="26"/>
      <c r="B285" s="3"/>
      <c r="C285" s="3"/>
      <c r="D285" s="3"/>
      <c r="E285" s="3"/>
      <c r="F285" s="3"/>
      <c r="G285" s="29" t="str">
        <f aca="false">IF(OR(E285="",F285=""),"",F285-E285)</f>
        <v/>
      </c>
      <c r="H285" s="3"/>
      <c r="I285" s="3"/>
      <c r="J285" s="3"/>
      <c r="K285" s="3"/>
      <c r="L285" s="3"/>
      <c r="M285" s="27"/>
      <c r="N285" s="28" t="str">
        <f aca="false">IF(AND(F285&lt;&gt;"",C285="Fer 9 + putter",D285=9),COUNTIFS($C$5:C285,"Fer 9 + putter",$D$5:D285,9,$F$5:F285,"&lt;&gt;"),"")</f>
        <v/>
      </c>
    </row>
    <row r="286" customFormat="false" ht="15" hidden="false" customHeight="false" outlineLevel="0" collapsed="false">
      <c r="A286" s="26"/>
      <c r="B286" s="3"/>
      <c r="C286" s="3"/>
      <c r="D286" s="3"/>
      <c r="E286" s="3"/>
      <c r="F286" s="3"/>
      <c r="G286" s="29" t="str">
        <f aca="false">IF(OR(E286="",F286=""),"",F286-E286)</f>
        <v/>
      </c>
      <c r="H286" s="3"/>
      <c r="I286" s="3"/>
      <c r="J286" s="3"/>
      <c r="K286" s="3"/>
      <c r="L286" s="3"/>
      <c r="M286" s="27"/>
      <c r="N286" s="28" t="str">
        <f aca="false">IF(AND(F286&lt;&gt;"",C286="Fer 9 + putter",D286=9),COUNTIFS($C$5:C286,"Fer 9 + putter",$D$5:D286,9,$F$5:F286,"&lt;&gt;"),"")</f>
        <v/>
      </c>
    </row>
    <row r="287" customFormat="false" ht="15" hidden="false" customHeight="false" outlineLevel="0" collapsed="false">
      <c r="A287" s="26"/>
      <c r="B287" s="3"/>
      <c r="C287" s="3"/>
      <c r="D287" s="3"/>
      <c r="E287" s="3"/>
      <c r="F287" s="3"/>
      <c r="G287" s="29" t="str">
        <f aca="false">IF(OR(E287="",F287=""),"",F287-E287)</f>
        <v/>
      </c>
      <c r="H287" s="3"/>
      <c r="I287" s="3"/>
      <c r="J287" s="3"/>
      <c r="K287" s="3"/>
      <c r="L287" s="3"/>
      <c r="M287" s="27"/>
      <c r="N287" s="28" t="str">
        <f aca="false">IF(AND(F287&lt;&gt;"",C287="Fer 9 + putter",D287=9),COUNTIFS($C$5:C287,"Fer 9 + putter",$D$5:D287,9,$F$5:F287,"&lt;&gt;"),"")</f>
        <v/>
      </c>
    </row>
    <row r="288" customFormat="false" ht="15" hidden="false" customHeight="false" outlineLevel="0" collapsed="false">
      <c r="A288" s="26"/>
      <c r="B288" s="3"/>
      <c r="C288" s="3"/>
      <c r="D288" s="3"/>
      <c r="E288" s="3"/>
      <c r="F288" s="3"/>
      <c r="G288" s="29" t="str">
        <f aca="false">IF(OR(E288="",F288=""),"",F288-E288)</f>
        <v/>
      </c>
      <c r="H288" s="3"/>
      <c r="I288" s="3"/>
      <c r="J288" s="3"/>
      <c r="K288" s="3"/>
      <c r="L288" s="3"/>
      <c r="M288" s="27"/>
      <c r="N288" s="28" t="str">
        <f aca="false">IF(AND(F288&lt;&gt;"",C288="Fer 9 + putter",D288=9),COUNTIFS($C$5:C288,"Fer 9 + putter",$D$5:D288,9,$F$5:F288,"&lt;&gt;"),"")</f>
        <v/>
      </c>
    </row>
    <row r="289" customFormat="false" ht="15" hidden="false" customHeight="false" outlineLevel="0" collapsed="false">
      <c r="A289" s="26"/>
      <c r="B289" s="3"/>
      <c r="C289" s="3"/>
      <c r="D289" s="3"/>
      <c r="E289" s="3"/>
      <c r="F289" s="3"/>
      <c r="G289" s="29" t="str">
        <f aca="false">IF(OR(E289="",F289=""),"",F289-E289)</f>
        <v/>
      </c>
      <c r="H289" s="3"/>
      <c r="I289" s="3"/>
      <c r="J289" s="3"/>
      <c r="K289" s="3"/>
      <c r="L289" s="3"/>
      <c r="M289" s="27"/>
      <c r="N289" s="28" t="str">
        <f aca="false">IF(AND(F289&lt;&gt;"",C289="Fer 9 + putter",D289=9),COUNTIFS($C$5:C289,"Fer 9 + putter",$D$5:D289,9,$F$5:F289,"&lt;&gt;"),"")</f>
        <v/>
      </c>
    </row>
    <row r="290" customFormat="false" ht="15" hidden="false" customHeight="false" outlineLevel="0" collapsed="false">
      <c r="A290" s="26"/>
      <c r="B290" s="3"/>
      <c r="C290" s="3"/>
      <c r="D290" s="3"/>
      <c r="E290" s="3"/>
      <c r="F290" s="3"/>
      <c r="G290" s="29" t="str">
        <f aca="false">IF(OR(E290="",F290=""),"",F290-E290)</f>
        <v/>
      </c>
      <c r="H290" s="3"/>
      <c r="I290" s="3"/>
      <c r="J290" s="3"/>
      <c r="K290" s="3"/>
      <c r="L290" s="3"/>
      <c r="M290" s="27"/>
      <c r="N290" s="28" t="str">
        <f aca="false">IF(AND(F290&lt;&gt;"",C290="Fer 9 + putter",D290=9),COUNTIFS($C$5:C290,"Fer 9 + putter",$D$5:D290,9,$F$5:F290,"&lt;&gt;"),"")</f>
        <v/>
      </c>
    </row>
    <row r="291" customFormat="false" ht="15" hidden="false" customHeight="false" outlineLevel="0" collapsed="false">
      <c r="A291" s="26"/>
      <c r="B291" s="3"/>
      <c r="C291" s="3"/>
      <c r="D291" s="3"/>
      <c r="E291" s="3"/>
      <c r="F291" s="3"/>
      <c r="G291" s="29" t="str">
        <f aca="false">IF(OR(E291="",F291=""),"",F291-E291)</f>
        <v/>
      </c>
      <c r="H291" s="3"/>
      <c r="I291" s="3"/>
      <c r="J291" s="3"/>
      <c r="K291" s="3"/>
      <c r="L291" s="3"/>
      <c r="M291" s="27"/>
      <c r="N291" s="28" t="str">
        <f aca="false">IF(AND(F291&lt;&gt;"",C291="Fer 9 + putter",D291=9),COUNTIFS($C$5:C291,"Fer 9 + putter",$D$5:D291,9,$F$5:F291,"&lt;&gt;"),"")</f>
        <v/>
      </c>
    </row>
    <row r="292" customFormat="false" ht="15" hidden="false" customHeight="false" outlineLevel="0" collapsed="false">
      <c r="A292" s="26"/>
      <c r="B292" s="3"/>
      <c r="C292" s="3"/>
      <c r="D292" s="3"/>
      <c r="E292" s="3"/>
      <c r="F292" s="3"/>
      <c r="G292" s="29" t="str">
        <f aca="false">IF(OR(E292="",F292=""),"",F292-E292)</f>
        <v/>
      </c>
      <c r="H292" s="3"/>
      <c r="I292" s="3"/>
      <c r="J292" s="3"/>
      <c r="K292" s="3"/>
      <c r="L292" s="3"/>
      <c r="M292" s="27"/>
      <c r="N292" s="28" t="str">
        <f aca="false">IF(AND(F292&lt;&gt;"",C292="Fer 9 + putter",D292=9),COUNTIFS($C$5:C292,"Fer 9 + putter",$D$5:D292,9,$F$5:F292,"&lt;&gt;"),"")</f>
        <v/>
      </c>
    </row>
    <row r="293" customFormat="false" ht="15" hidden="false" customHeight="false" outlineLevel="0" collapsed="false">
      <c r="A293" s="26"/>
      <c r="B293" s="3"/>
      <c r="C293" s="3"/>
      <c r="D293" s="3"/>
      <c r="E293" s="3"/>
      <c r="F293" s="3"/>
      <c r="G293" s="29" t="str">
        <f aca="false">IF(OR(E293="",F293=""),"",F293-E293)</f>
        <v/>
      </c>
      <c r="H293" s="3"/>
      <c r="I293" s="3"/>
      <c r="J293" s="3"/>
      <c r="K293" s="3"/>
      <c r="L293" s="3"/>
      <c r="M293" s="27"/>
      <c r="N293" s="28" t="str">
        <f aca="false">IF(AND(F293&lt;&gt;"",C293="Fer 9 + putter",D293=9),COUNTIFS($C$5:C293,"Fer 9 + putter",$D$5:D293,9,$F$5:F293,"&lt;&gt;"),"")</f>
        <v/>
      </c>
    </row>
    <row r="294" customFormat="false" ht="15" hidden="false" customHeight="false" outlineLevel="0" collapsed="false">
      <c r="A294" s="26"/>
      <c r="B294" s="3"/>
      <c r="C294" s="3"/>
      <c r="D294" s="3"/>
      <c r="E294" s="3"/>
      <c r="F294" s="3"/>
      <c r="G294" s="29" t="str">
        <f aca="false">IF(OR(E294="",F294=""),"",F294-E294)</f>
        <v/>
      </c>
      <c r="H294" s="3"/>
      <c r="I294" s="3"/>
      <c r="J294" s="3"/>
      <c r="K294" s="3"/>
      <c r="L294" s="3"/>
      <c r="M294" s="27"/>
      <c r="N294" s="28" t="str">
        <f aca="false">IF(AND(F294&lt;&gt;"",C294="Fer 9 + putter",D294=9),COUNTIFS($C$5:C294,"Fer 9 + putter",$D$5:D294,9,$F$5:F294,"&lt;&gt;"),"")</f>
        <v/>
      </c>
    </row>
    <row r="295" customFormat="false" ht="15" hidden="false" customHeight="false" outlineLevel="0" collapsed="false">
      <c r="A295" s="26"/>
      <c r="B295" s="3"/>
      <c r="C295" s="3"/>
      <c r="D295" s="3"/>
      <c r="E295" s="3"/>
      <c r="F295" s="3"/>
      <c r="G295" s="29" t="str">
        <f aca="false">IF(OR(E295="",F295=""),"",F295-E295)</f>
        <v/>
      </c>
      <c r="H295" s="3"/>
      <c r="I295" s="3"/>
      <c r="J295" s="3"/>
      <c r="K295" s="3"/>
      <c r="L295" s="3"/>
      <c r="M295" s="27"/>
      <c r="N295" s="28" t="str">
        <f aca="false">IF(AND(F295&lt;&gt;"",C295="Fer 9 + putter",D295=9),COUNTIFS($C$5:C295,"Fer 9 + putter",$D$5:D295,9,$F$5:F295,"&lt;&gt;"),"")</f>
        <v/>
      </c>
    </row>
    <row r="296" customFormat="false" ht="15" hidden="false" customHeight="false" outlineLevel="0" collapsed="false">
      <c r="A296" s="26"/>
      <c r="B296" s="3"/>
      <c r="C296" s="3"/>
      <c r="D296" s="3"/>
      <c r="E296" s="3"/>
      <c r="F296" s="3"/>
      <c r="G296" s="29" t="str">
        <f aca="false">IF(OR(E296="",F296=""),"",F296-E296)</f>
        <v/>
      </c>
      <c r="H296" s="3"/>
      <c r="I296" s="3"/>
      <c r="J296" s="3"/>
      <c r="K296" s="3"/>
      <c r="L296" s="3"/>
      <c r="M296" s="27"/>
      <c r="N296" s="28" t="str">
        <f aca="false">IF(AND(F296&lt;&gt;"",C296="Fer 9 + putter",D296=9),COUNTIFS($C$5:C296,"Fer 9 + putter",$D$5:D296,9,$F$5:F296,"&lt;&gt;"),"")</f>
        <v/>
      </c>
    </row>
    <row r="297" customFormat="false" ht="15" hidden="false" customHeight="false" outlineLevel="0" collapsed="false">
      <c r="A297" s="26"/>
      <c r="B297" s="3"/>
      <c r="C297" s="3"/>
      <c r="D297" s="3"/>
      <c r="E297" s="3"/>
      <c r="F297" s="3"/>
      <c r="G297" s="29" t="str">
        <f aca="false">IF(OR(E297="",F297=""),"",F297-E297)</f>
        <v/>
      </c>
      <c r="H297" s="3"/>
      <c r="I297" s="3"/>
      <c r="J297" s="3"/>
      <c r="K297" s="3"/>
      <c r="L297" s="3"/>
      <c r="M297" s="27"/>
      <c r="N297" s="28" t="str">
        <f aca="false">IF(AND(F297&lt;&gt;"",C297="Fer 9 + putter",D297=9),COUNTIFS($C$5:C297,"Fer 9 + putter",$D$5:D297,9,$F$5:F297,"&lt;&gt;"),"")</f>
        <v/>
      </c>
    </row>
    <row r="298" customFormat="false" ht="15" hidden="false" customHeight="false" outlineLevel="0" collapsed="false">
      <c r="A298" s="26"/>
      <c r="B298" s="3"/>
      <c r="C298" s="3"/>
      <c r="D298" s="3"/>
      <c r="E298" s="3"/>
      <c r="F298" s="3"/>
      <c r="G298" s="29" t="str">
        <f aca="false">IF(OR(E298="",F298=""),"",F298-E298)</f>
        <v/>
      </c>
      <c r="H298" s="3"/>
      <c r="I298" s="3"/>
      <c r="J298" s="3"/>
      <c r="K298" s="3"/>
      <c r="L298" s="3"/>
      <c r="M298" s="27"/>
      <c r="N298" s="28" t="str">
        <f aca="false">IF(AND(F298&lt;&gt;"",C298="Fer 9 + putter",D298=9),COUNTIFS($C$5:C298,"Fer 9 + putter",$D$5:D298,9,$F$5:F298,"&lt;&gt;"),"")</f>
        <v/>
      </c>
    </row>
    <row r="299" customFormat="false" ht="15" hidden="false" customHeight="false" outlineLevel="0" collapsed="false">
      <c r="A299" s="26"/>
      <c r="B299" s="3"/>
      <c r="C299" s="3"/>
      <c r="D299" s="3"/>
      <c r="E299" s="3"/>
      <c r="F299" s="3"/>
      <c r="G299" s="29" t="str">
        <f aca="false">IF(OR(E299="",F299=""),"",F299-E299)</f>
        <v/>
      </c>
      <c r="H299" s="3"/>
      <c r="I299" s="3"/>
      <c r="J299" s="3"/>
      <c r="K299" s="3"/>
      <c r="L299" s="3"/>
      <c r="M299" s="27"/>
      <c r="N299" s="28" t="str">
        <f aca="false">IF(AND(F299&lt;&gt;"",C299="Fer 9 + putter",D299=9),COUNTIFS($C$5:C299,"Fer 9 + putter",$D$5:D299,9,$F$5:F299,"&lt;&gt;"),"")</f>
        <v/>
      </c>
    </row>
    <row r="300" customFormat="false" ht="15" hidden="false" customHeight="false" outlineLevel="0" collapsed="false">
      <c r="A300" s="26"/>
      <c r="B300" s="3"/>
      <c r="C300" s="3"/>
      <c r="D300" s="3"/>
      <c r="E300" s="3"/>
      <c r="F300" s="3"/>
      <c r="G300" s="29" t="str">
        <f aca="false">IF(OR(E300="",F300=""),"",F300-E300)</f>
        <v/>
      </c>
      <c r="H300" s="3"/>
      <c r="I300" s="3"/>
      <c r="J300" s="3"/>
      <c r="K300" s="3"/>
      <c r="L300" s="3"/>
      <c r="M300" s="27"/>
      <c r="N300" s="28" t="str">
        <f aca="false">IF(AND(F300&lt;&gt;"",C300="Fer 9 + putter",D300=9),COUNTIFS($C$5:C300,"Fer 9 + putter",$D$5:D300,9,$F$5:F300,"&lt;&gt;"),"")</f>
        <v/>
      </c>
    </row>
    <row r="301" customFormat="false" ht="15" hidden="false" customHeight="false" outlineLevel="0" collapsed="false">
      <c r="A301" s="26"/>
      <c r="B301" s="3"/>
      <c r="C301" s="3"/>
      <c r="D301" s="3"/>
      <c r="E301" s="3"/>
      <c r="F301" s="3"/>
      <c r="G301" s="29" t="str">
        <f aca="false">IF(OR(E301="",F301=""),"",F301-E301)</f>
        <v/>
      </c>
      <c r="H301" s="3"/>
      <c r="I301" s="3"/>
      <c r="J301" s="3"/>
      <c r="K301" s="3"/>
      <c r="L301" s="3"/>
      <c r="M301" s="27"/>
      <c r="N301" s="28" t="str">
        <f aca="false">IF(AND(F301&lt;&gt;"",C301="Fer 9 + putter",D301=9),COUNTIFS($C$5:C301,"Fer 9 + putter",$D$5:D301,9,$F$5:F301,"&lt;&gt;"),"")</f>
        <v/>
      </c>
    </row>
    <row r="302" customFormat="false" ht="15" hidden="false" customHeight="false" outlineLevel="0" collapsed="false">
      <c r="A302" s="26"/>
      <c r="B302" s="3"/>
      <c r="C302" s="3"/>
      <c r="D302" s="3"/>
      <c r="E302" s="3"/>
      <c r="F302" s="3"/>
      <c r="G302" s="29" t="str">
        <f aca="false">IF(OR(E302="",F302=""),"",F302-E302)</f>
        <v/>
      </c>
      <c r="H302" s="3"/>
      <c r="I302" s="3"/>
      <c r="J302" s="3"/>
      <c r="K302" s="3"/>
      <c r="L302" s="3"/>
      <c r="M302" s="27"/>
      <c r="N302" s="28" t="str">
        <f aca="false">IF(AND(F302&lt;&gt;"",C302="Fer 9 + putter",D302=9),COUNTIFS($C$5:C302,"Fer 9 + putter",$D$5:D302,9,$F$5:F302,"&lt;&gt;"),"")</f>
        <v/>
      </c>
    </row>
    <row r="303" customFormat="false" ht="15" hidden="false" customHeight="false" outlineLevel="0" collapsed="false">
      <c r="A303" s="26"/>
      <c r="B303" s="3"/>
      <c r="C303" s="3"/>
      <c r="D303" s="3"/>
      <c r="E303" s="3"/>
      <c r="F303" s="3"/>
      <c r="G303" s="29" t="str">
        <f aca="false">IF(OR(E303="",F303=""),"",F303-E303)</f>
        <v/>
      </c>
      <c r="H303" s="3"/>
      <c r="I303" s="3"/>
      <c r="J303" s="3"/>
      <c r="K303" s="3"/>
      <c r="L303" s="3"/>
      <c r="M303" s="27"/>
      <c r="N303" s="28" t="str">
        <f aca="false">IF(AND(F303&lt;&gt;"",C303="Fer 9 + putter",D303=9),COUNTIFS($C$5:C303,"Fer 9 + putter",$D$5:D303,9,$F$5:F303,"&lt;&gt;"),"")</f>
        <v/>
      </c>
    </row>
    <row r="304" customFormat="false" ht="15" hidden="false" customHeight="false" outlineLevel="0" collapsed="false">
      <c r="A304" s="26"/>
      <c r="B304" s="3"/>
      <c r="C304" s="3"/>
      <c r="D304" s="3"/>
      <c r="E304" s="3"/>
      <c r="F304" s="3"/>
      <c r="G304" s="29" t="str">
        <f aca="false">IF(OR(E304="",F304=""),"",F304-E304)</f>
        <v/>
      </c>
      <c r="H304" s="3"/>
      <c r="I304" s="3"/>
      <c r="J304" s="3"/>
      <c r="K304" s="3"/>
      <c r="L304" s="3"/>
      <c r="M304" s="27"/>
      <c r="N304" s="28" t="str">
        <f aca="false">IF(AND(F304&lt;&gt;"",C304="Fer 9 + putter",D304=9),COUNTIFS($C$5:C304,"Fer 9 + putter",$D$5:D304,9,$F$5:F304,"&lt;&gt;"),"")</f>
        <v/>
      </c>
    </row>
  </sheetData>
  <dataValidations count="3">
    <dataValidation allowBlank="true" errorStyle="stop" operator="between" showDropDown="false" showErrorMessage="false" showInputMessage="false" sqref="C5:C304" type="list">
      <formula1>"Fer 9 + putter,Demi-série"</formula1>
      <formula2>0</formula2>
    </dataValidation>
    <dataValidation allowBlank="true" errorStyle="stop" operator="between" showDropDown="false" showErrorMessage="false" showInputMessage="false" sqref="D5:D304" type="list">
      <formula1>"9,18"</formula1>
      <formula2>0</formula2>
    </dataValidation>
    <dataValidation allowBlank="true" errorStyle="stop" operator="between" showDropDown="false" showErrorMessage="false" showInputMessage="false" sqref="L5:L30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5"/>
    <col collapsed="false" customWidth="true" hidden="false" outlineLevel="0" max="3" min="3" style="0" width="11"/>
    <col collapsed="false" customWidth="true" hidden="false" outlineLevel="0" max="4" min="4" style="0" width="12"/>
  </cols>
  <sheetData>
    <row r="1" customFormat="false" ht="18.55" hidden="false" customHeight="false" outlineLevel="0" collapsed="false">
      <c r="A1" s="1" t="s">
        <v>95</v>
      </c>
    </row>
    <row r="2" customFormat="false" ht="15" hidden="false" customHeight="false" outlineLevel="0" collapsed="false">
      <c r="A2" s="5" t="s">
        <v>96</v>
      </c>
    </row>
    <row r="4" customFormat="false" ht="31.5" hidden="false" customHeight="true" outlineLevel="0" collapsed="false">
      <c r="A4" s="15" t="s">
        <v>97</v>
      </c>
      <c r="B4" s="15" t="s">
        <v>98</v>
      </c>
      <c r="C4" s="15" t="s">
        <v>99</v>
      </c>
      <c r="D4" s="15" t="s">
        <v>56</v>
      </c>
    </row>
    <row r="5" customFormat="false" ht="15" hidden="false" customHeight="false" outlineLevel="0" collapsed="false">
      <c r="A5" s="30" t="s">
        <v>100</v>
      </c>
      <c r="B5" s="30" t="s">
        <v>101</v>
      </c>
      <c r="C5" s="31"/>
      <c r="D5" s="32"/>
    </row>
    <row r="6" customFormat="false" ht="15" hidden="false" customHeight="false" outlineLevel="0" collapsed="false">
      <c r="A6" s="30" t="s">
        <v>100</v>
      </c>
      <c r="B6" s="30" t="s">
        <v>102</v>
      </c>
      <c r="C6" s="31"/>
      <c r="D6" s="32"/>
    </row>
    <row r="7" customFormat="false" ht="15" hidden="false" customHeight="false" outlineLevel="0" collapsed="false">
      <c r="A7" s="30" t="s">
        <v>100</v>
      </c>
      <c r="B7" s="30" t="s">
        <v>103</v>
      </c>
      <c r="C7" s="31"/>
      <c r="D7" s="32"/>
    </row>
    <row r="8" customFormat="false" ht="15" hidden="false" customHeight="false" outlineLevel="0" collapsed="false">
      <c r="A8" s="30" t="s">
        <v>104</v>
      </c>
      <c r="B8" s="30" t="s">
        <v>105</v>
      </c>
      <c r="C8" s="31"/>
      <c r="D8" s="32"/>
    </row>
    <row r="9" customFormat="false" ht="15" hidden="false" customHeight="false" outlineLevel="0" collapsed="false">
      <c r="A9" s="30" t="s">
        <v>104</v>
      </c>
      <c r="B9" s="30" t="s">
        <v>106</v>
      </c>
      <c r="C9" s="31"/>
      <c r="D9" s="32"/>
    </row>
    <row r="10" customFormat="false" ht="15" hidden="false" customHeight="false" outlineLevel="0" collapsed="false">
      <c r="A10" s="30" t="s">
        <v>104</v>
      </c>
      <c r="B10" s="30" t="s">
        <v>107</v>
      </c>
      <c r="C10" s="31"/>
      <c r="D10" s="32"/>
    </row>
    <row r="11" customFormat="false" ht="15" hidden="false" customHeight="false" outlineLevel="0" collapsed="false">
      <c r="A11" s="30" t="s">
        <v>104</v>
      </c>
      <c r="B11" s="30" t="s">
        <v>108</v>
      </c>
      <c r="C11" s="31"/>
      <c r="D11" s="32"/>
    </row>
    <row r="12" customFormat="false" ht="15" hidden="false" customHeight="false" outlineLevel="0" collapsed="false">
      <c r="A12" s="30" t="s">
        <v>104</v>
      </c>
      <c r="B12" s="30" t="s">
        <v>109</v>
      </c>
      <c r="C12" s="31"/>
      <c r="D12" s="32"/>
    </row>
    <row r="13" customFormat="false" ht="15" hidden="false" customHeight="false" outlineLevel="0" collapsed="false">
      <c r="A13" s="30" t="s">
        <v>104</v>
      </c>
      <c r="B13" s="30" t="s">
        <v>110</v>
      </c>
      <c r="C13" s="31"/>
      <c r="D13" s="32"/>
    </row>
    <row r="14" customFormat="false" ht="15" hidden="false" customHeight="false" outlineLevel="0" collapsed="false">
      <c r="A14" s="30" t="s">
        <v>111</v>
      </c>
      <c r="B14" s="30" t="s">
        <v>112</v>
      </c>
      <c r="C14" s="31"/>
      <c r="D14" s="32"/>
    </row>
    <row r="15" customFormat="false" ht="15" hidden="false" customHeight="false" outlineLevel="0" collapsed="false">
      <c r="A15" s="30" t="s">
        <v>111</v>
      </c>
      <c r="B15" s="30" t="s">
        <v>113</v>
      </c>
      <c r="C15" s="31"/>
      <c r="D15" s="32"/>
    </row>
    <row r="16" customFormat="false" ht="15" hidden="false" customHeight="false" outlineLevel="0" collapsed="false">
      <c r="A16" s="30" t="s">
        <v>111</v>
      </c>
      <c r="B16" s="30" t="s">
        <v>114</v>
      </c>
      <c r="C16" s="31"/>
      <c r="D16" s="32"/>
    </row>
    <row r="17" customFormat="false" ht="15" hidden="false" customHeight="false" outlineLevel="0" collapsed="false">
      <c r="A17" s="30" t="s">
        <v>115</v>
      </c>
      <c r="B17" s="30" t="s">
        <v>116</v>
      </c>
      <c r="C17" s="31"/>
      <c r="D17" s="32"/>
    </row>
    <row r="18" customFormat="false" ht="15" hidden="false" customHeight="false" outlineLevel="0" collapsed="false">
      <c r="A18" s="30" t="s">
        <v>115</v>
      </c>
      <c r="B18" s="30" t="s">
        <v>117</v>
      </c>
      <c r="C18" s="31"/>
      <c r="D18" s="32"/>
    </row>
    <row r="19" customFormat="false" ht="15" hidden="false" customHeight="false" outlineLevel="0" collapsed="false">
      <c r="A19" s="30" t="s">
        <v>115</v>
      </c>
      <c r="B19" s="30" t="s">
        <v>118</v>
      </c>
      <c r="C19" s="31"/>
      <c r="D19" s="32"/>
    </row>
    <row r="20" customFormat="false" ht="15" hidden="false" customHeight="false" outlineLevel="0" collapsed="false">
      <c r="A20" s="30" t="s">
        <v>115</v>
      </c>
      <c r="B20" s="30" t="s">
        <v>119</v>
      </c>
      <c r="C20" s="31"/>
      <c r="D20" s="32"/>
    </row>
    <row r="21" customFormat="false" ht="15" hidden="false" customHeight="false" outlineLevel="0" collapsed="false">
      <c r="A21" s="30" t="s">
        <v>115</v>
      </c>
      <c r="B21" s="30" t="s">
        <v>120</v>
      </c>
      <c r="C21" s="31"/>
      <c r="D21" s="32"/>
    </row>
    <row r="22" customFormat="false" ht="15" hidden="false" customHeight="false" outlineLevel="0" collapsed="false">
      <c r="A22" s="30" t="s">
        <v>115</v>
      </c>
      <c r="B22" s="30" t="s">
        <v>121</v>
      </c>
      <c r="C22" s="31"/>
      <c r="D22" s="32"/>
    </row>
    <row r="23" customFormat="false" ht="15" hidden="false" customHeight="false" outlineLevel="0" collapsed="false">
      <c r="A23" s="30" t="s">
        <v>115</v>
      </c>
      <c r="B23" s="30" t="s">
        <v>122</v>
      </c>
      <c r="C23" s="31"/>
      <c r="D23" s="32"/>
    </row>
    <row r="24" customFormat="false" ht="15" hidden="false" customHeight="false" outlineLevel="0" collapsed="false">
      <c r="A24" s="30" t="s">
        <v>115</v>
      </c>
      <c r="B24" s="30" t="s">
        <v>123</v>
      </c>
      <c r="C24" s="31"/>
      <c r="D24" s="32"/>
    </row>
    <row r="25" customFormat="false" ht="15" hidden="false" customHeight="false" outlineLevel="0" collapsed="false">
      <c r="A25" s="30" t="s">
        <v>124</v>
      </c>
      <c r="B25" s="30" t="s">
        <v>125</v>
      </c>
      <c r="C25" s="31"/>
      <c r="D25" s="32"/>
    </row>
    <row r="26" customFormat="false" ht="15" hidden="false" customHeight="false" outlineLevel="0" collapsed="false">
      <c r="A26" s="30" t="s">
        <v>124</v>
      </c>
      <c r="B26" s="30" t="s">
        <v>126</v>
      </c>
      <c r="C26" s="31"/>
      <c r="D26" s="32"/>
    </row>
    <row r="27" customFormat="false" ht="15" hidden="false" customHeight="false" outlineLevel="0" collapsed="false">
      <c r="A27" s="30" t="s">
        <v>124</v>
      </c>
      <c r="B27" s="30" t="s">
        <v>127</v>
      </c>
      <c r="C27" s="31"/>
      <c r="D27" s="32"/>
    </row>
    <row r="28" customFormat="false" ht="15" hidden="false" customHeight="false" outlineLevel="0" collapsed="false">
      <c r="A28" s="30" t="s">
        <v>124</v>
      </c>
      <c r="B28" s="30" t="s">
        <v>128</v>
      </c>
      <c r="C28" s="31"/>
      <c r="D28" s="32"/>
    </row>
    <row r="30" customFormat="false" ht="15" hidden="false" customHeight="false" outlineLevel="0" collapsed="false">
      <c r="B30" s="10" t="s">
        <v>129</v>
      </c>
      <c r="C30" s="33" t="n">
        <f aca="false">COUNTIF(C5:C28,"Oui")/COUNTA(B5:B28)</f>
        <v>0</v>
      </c>
    </row>
  </sheetData>
  <conditionalFormatting sqref="C5:C28">
    <cfRule type="cellIs" priority="2" operator="equal" aboveAverage="0" equalAverage="0" bottom="0" percent="0" rank="0" text="" dxfId="2">
      <formula>"Oui"</formula>
    </cfRule>
  </conditionalFormatting>
  <dataValidations count="1">
    <dataValidation allowBlank="true" errorStyle="stop" operator="between" showDropDown="false" showErrorMessage="false" showInputMessage="false" sqref="C5:C28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5" t="s">
        <v>131</v>
      </c>
    </row>
    <row r="4" customFormat="false" ht="31.5" hidden="false" customHeight="true" outlineLevel="0" collapsed="false">
      <c r="A4" s="15" t="s">
        <v>56</v>
      </c>
      <c r="B4" s="15" t="s">
        <v>132</v>
      </c>
      <c r="C4" s="15" t="s">
        <v>133</v>
      </c>
      <c r="E4" s="5" t="s">
        <v>134</v>
      </c>
    </row>
    <row r="5" customFormat="false" ht="15" hidden="false" customHeight="false" outlineLevel="0" collapsed="false">
      <c r="A5" s="26"/>
      <c r="B5" s="34"/>
      <c r="C5" s="3"/>
    </row>
    <row r="6" customFormat="false" ht="15" hidden="false" customHeight="false" outlineLevel="0" collapsed="false">
      <c r="A6" s="26"/>
      <c r="B6" s="34"/>
      <c r="C6" s="3"/>
    </row>
    <row r="7" customFormat="false" ht="15" hidden="false" customHeight="false" outlineLevel="0" collapsed="false">
      <c r="A7" s="26"/>
      <c r="B7" s="34"/>
      <c r="C7" s="3"/>
    </row>
    <row r="8" customFormat="false" ht="15" hidden="false" customHeight="false" outlineLevel="0" collapsed="false">
      <c r="A8" s="26"/>
      <c r="B8" s="34"/>
      <c r="C8" s="3"/>
    </row>
    <row r="9" customFormat="false" ht="15" hidden="false" customHeight="false" outlineLevel="0" collapsed="false">
      <c r="A9" s="26"/>
      <c r="B9" s="34"/>
      <c r="C9" s="3"/>
    </row>
    <row r="10" customFormat="false" ht="15" hidden="false" customHeight="false" outlineLevel="0" collapsed="false">
      <c r="A10" s="26"/>
      <c r="B10" s="34"/>
      <c r="C10" s="3"/>
    </row>
    <row r="11" customFormat="false" ht="15" hidden="false" customHeight="false" outlineLevel="0" collapsed="false">
      <c r="A11" s="26"/>
      <c r="B11" s="34"/>
      <c r="C11" s="3"/>
    </row>
    <row r="12" customFormat="false" ht="15" hidden="false" customHeight="false" outlineLevel="0" collapsed="false">
      <c r="A12" s="26"/>
      <c r="B12" s="34"/>
      <c r="C12" s="3"/>
    </row>
    <row r="13" customFormat="false" ht="15" hidden="false" customHeight="false" outlineLevel="0" collapsed="false">
      <c r="A13" s="26"/>
      <c r="B13" s="34"/>
      <c r="C13" s="3"/>
    </row>
    <row r="14" customFormat="false" ht="15" hidden="false" customHeight="false" outlineLevel="0" collapsed="false">
      <c r="A14" s="26"/>
      <c r="B14" s="34"/>
      <c r="C14" s="3"/>
    </row>
    <row r="15" customFormat="false" ht="15" hidden="false" customHeight="false" outlineLevel="0" collapsed="false">
      <c r="A15" s="26"/>
      <c r="B15" s="34"/>
      <c r="C15" s="3"/>
    </row>
    <row r="16" customFormat="false" ht="15" hidden="false" customHeight="false" outlineLevel="0" collapsed="false">
      <c r="A16" s="26"/>
      <c r="B16" s="34"/>
      <c r="C16" s="3"/>
    </row>
    <row r="17" customFormat="false" ht="15" hidden="false" customHeight="false" outlineLevel="0" collapsed="false">
      <c r="A17" s="26"/>
      <c r="B17" s="34"/>
      <c r="C17" s="3"/>
    </row>
    <row r="18" customFormat="false" ht="15" hidden="false" customHeight="false" outlineLevel="0" collapsed="false">
      <c r="A18" s="26"/>
      <c r="B18" s="34"/>
      <c r="C18" s="3"/>
    </row>
    <row r="19" customFormat="false" ht="15" hidden="false" customHeight="false" outlineLevel="0" collapsed="false">
      <c r="A19" s="26"/>
      <c r="B19" s="34"/>
      <c r="C19" s="3"/>
    </row>
    <row r="20" customFormat="false" ht="15" hidden="false" customHeight="false" outlineLevel="0" collapsed="false">
      <c r="A20" s="26"/>
      <c r="B20" s="34"/>
      <c r="C20" s="3"/>
    </row>
    <row r="21" customFormat="false" ht="15" hidden="false" customHeight="false" outlineLevel="0" collapsed="false">
      <c r="A21" s="26"/>
      <c r="B21" s="34"/>
      <c r="C21" s="3"/>
    </row>
    <row r="22" customFormat="false" ht="15" hidden="false" customHeight="false" outlineLevel="0" collapsed="false">
      <c r="A22" s="26"/>
      <c r="B22" s="34"/>
      <c r="C22" s="3"/>
    </row>
    <row r="23" customFormat="false" ht="15" hidden="false" customHeight="false" outlineLevel="0" collapsed="false">
      <c r="A23" s="26"/>
      <c r="B23" s="34"/>
      <c r="C23" s="3"/>
    </row>
    <row r="24" customFormat="false" ht="15" hidden="false" customHeight="false" outlineLevel="0" collapsed="false">
      <c r="A24" s="26"/>
      <c r="B24" s="34"/>
      <c r="C24" s="3"/>
    </row>
    <row r="25" customFormat="false" ht="15" hidden="false" customHeight="false" outlineLevel="0" collapsed="false">
      <c r="A25" s="26"/>
      <c r="B25" s="34"/>
      <c r="C25" s="3"/>
    </row>
    <row r="26" customFormat="false" ht="15" hidden="false" customHeight="false" outlineLevel="0" collapsed="false">
      <c r="A26" s="26"/>
      <c r="B26" s="34"/>
      <c r="C26" s="3"/>
    </row>
    <row r="27" customFormat="false" ht="15" hidden="false" customHeight="false" outlineLevel="0" collapsed="false">
      <c r="A27" s="26"/>
      <c r="B27" s="34"/>
      <c r="C27" s="3"/>
    </row>
    <row r="28" customFormat="false" ht="15" hidden="false" customHeight="false" outlineLevel="0" collapsed="false">
      <c r="A28" s="26"/>
      <c r="B28" s="34"/>
      <c r="C28" s="3"/>
    </row>
    <row r="29" customFormat="false" ht="15" hidden="false" customHeight="false" outlineLevel="0" collapsed="false">
      <c r="A29" s="26"/>
      <c r="B29" s="34"/>
      <c r="C29" s="3"/>
    </row>
    <row r="30" customFormat="false" ht="15" hidden="false" customHeight="false" outlineLevel="0" collapsed="false">
      <c r="A30" s="26"/>
      <c r="B30" s="34"/>
      <c r="C30" s="3"/>
    </row>
    <row r="31" customFormat="false" ht="15" hidden="false" customHeight="false" outlineLevel="0" collapsed="false">
      <c r="A31" s="26"/>
      <c r="B31" s="34"/>
      <c r="C31" s="3"/>
    </row>
    <row r="32" customFormat="false" ht="15" hidden="false" customHeight="false" outlineLevel="0" collapsed="false">
      <c r="A32" s="26"/>
      <c r="B32" s="34"/>
      <c r="C32" s="3"/>
    </row>
    <row r="33" customFormat="false" ht="15" hidden="false" customHeight="false" outlineLevel="0" collapsed="false">
      <c r="A33" s="26"/>
      <c r="B33" s="34"/>
      <c r="C33" s="3"/>
    </row>
    <row r="34" customFormat="false" ht="15" hidden="false" customHeight="false" outlineLevel="0" collapsed="false">
      <c r="A34" s="26"/>
      <c r="B34" s="34"/>
      <c r="C34" s="3"/>
    </row>
    <row r="35" customFormat="false" ht="15" hidden="false" customHeight="false" outlineLevel="0" collapsed="false">
      <c r="A35" s="26"/>
      <c r="B35" s="34"/>
      <c r="C35" s="3"/>
    </row>
    <row r="36" customFormat="false" ht="15" hidden="false" customHeight="false" outlineLevel="0" collapsed="false">
      <c r="A36" s="26"/>
      <c r="B36" s="34"/>
      <c r="C36" s="3"/>
    </row>
    <row r="37" customFormat="false" ht="15" hidden="false" customHeight="false" outlineLevel="0" collapsed="false">
      <c r="A37" s="26"/>
      <c r="B37" s="34"/>
      <c r="C37" s="3"/>
    </row>
    <row r="38" customFormat="false" ht="15" hidden="false" customHeight="false" outlineLevel="0" collapsed="false">
      <c r="A38" s="26"/>
      <c r="B38" s="34"/>
      <c r="C38" s="3"/>
    </row>
    <row r="39" customFormat="false" ht="15" hidden="false" customHeight="false" outlineLevel="0" collapsed="false">
      <c r="A39" s="26"/>
      <c r="B39" s="34"/>
      <c r="C39" s="3"/>
    </row>
    <row r="40" customFormat="false" ht="15" hidden="false" customHeight="false" outlineLevel="0" collapsed="false">
      <c r="A40" s="26"/>
      <c r="B40" s="34"/>
      <c r="C40" s="3"/>
    </row>
    <row r="41" customFormat="false" ht="15" hidden="false" customHeight="false" outlineLevel="0" collapsed="false">
      <c r="A41" s="26"/>
      <c r="B41" s="34"/>
      <c r="C41" s="3"/>
    </row>
    <row r="42" customFormat="false" ht="15" hidden="false" customHeight="false" outlineLevel="0" collapsed="false">
      <c r="A42" s="26"/>
      <c r="B42" s="34"/>
      <c r="C42" s="3"/>
    </row>
    <row r="43" customFormat="false" ht="15" hidden="false" customHeight="false" outlineLevel="0" collapsed="false">
      <c r="A43" s="26"/>
      <c r="B43" s="34"/>
      <c r="C43" s="3"/>
    </row>
    <row r="44" customFormat="false" ht="15" hidden="false" customHeight="false" outlineLevel="0" collapsed="false">
      <c r="A44" s="26"/>
      <c r="B44" s="34"/>
      <c r="C44" s="3"/>
    </row>
    <row r="45" customFormat="false" ht="15" hidden="false" customHeight="false" outlineLevel="0" collapsed="false">
      <c r="A45" s="26"/>
      <c r="B45" s="34"/>
      <c r="C45" s="3"/>
    </row>
    <row r="46" customFormat="false" ht="15" hidden="false" customHeight="false" outlineLevel="0" collapsed="false">
      <c r="A46" s="26"/>
      <c r="B46" s="34"/>
      <c r="C46" s="3"/>
    </row>
    <row r="47" customFormat="false" ht="15" hidden="false" customHeight="false" outlineLevel="0" collapsed="false">
      <c r="A47" s="26"/>
      <c r="B47" s="34"/>
      <c r="C47" s="3"/>
    </row>
    <row r="48" customFormat="false" ht="15" hidden="false" customHeight="false" outlineLevel="0" collapsed="false">
      <c r="A48" s="26"/>
      <c r="B48" s="34"/>
      <c r="C48" s="3"/>
    </row>
    <row r="49" customFormat="false" ht="15" hidden="false" customHeight="false" outlineLevel="0" collapsed="false">
      <c r="A49" s="26"/>
      <c r="B49" s="34"/>
      <c r="C49" s="3"/>
    </row>
    <row r="50" customFormat="false" ht="15" hidden="false" customHeight="false" outlineLevel="0" collapsed="false">
      <c r="A50" s="26"/>
      <c r="B50" s="34"/>
      <c r="C50" s="3"/>
    </row>
    <row r="51" customFormat="false" ht="15" hidden="false" customHeight="false" outlineLevel="0" collapsed="false">
      <c r="A51" s="26"/>
      <c r="B51" s="34"/>
      <c r="C51" s="3"/>
    </row>
    <row r="52" customFormat="false" ht="15" hidden="false" customHeight="false" outlineLevel="0" collapsed="false">
      <c r="A52" s="26"/>
      <c r="B52" s="34"/>
      <c r="C52" s="3"/>
    </row>
    <row r="53" customFormat="false" ht="15" hidden="false" customHeight="false" outlineLevel="0" collapsed="false">
      <c r="A53" s="26"/>
      <c r="B53" s="34"/>
      <c r="C53" s="3"/>
    </row>
    <row r="54" customFormat="false" ht="15" hidden="false" customHeight="false" outlineLevel="0" collapsed="false">
      <c r="A54" s="26"/>
      <c r="B54" s="34"/>
      <c r="C54" s="3"/>
    </row>
    <row r="55" customFormat="false" ht="15" hidden="false" customHeight="false" outlineLevel="0" collapsed="false">
      <c r="A55" s="26"/>
      <c r="B55" s="34"/>
      <c r="C55" s="3"/>
    </row>
    <row r="56" customFormat="false" ht="15" hidden="false" customHeight="false" outlineLevel="0" collapsed="false">
      <c r="A56" s="26"/>
      <c r="B56" s="34"/>
      <c r="C56" s="3"/>
    </row>
    <row r="57" customFormat="false" ht="15" hidden="false" customHeight="false" outlineLevel="0" collapsed="false">
      <c r="A57" s="26"/>
      <c r="B57" s="34"/>
      <c r="C57" s="3"/>
    </row>
    <row r="58" customFormat="false" ht="15" hidden="false" customHeight="false" outlineLevel="0" collapsed="false">
      <c r="A58" s="26"/>
      <c r="B58" s="34"/>
      <c r="C58" s="3"/>
    </row>
    <row r="59" customFormat="false" ht="15" hidden="false" customHeight="false" outlineLevel="0" collapsed="false">
      <c r="A59" s="26"/>
      <c r="B59" s="34"/>
      <c r="C59" s="3"/>
    </row>
    <row r="60" customFormat="false" ht="15" hidden="false" customHeight="false" outlineLevel="0" collapsed="false">
      <c r="A60" s="26"/>
      <c r="B60" s="34"/>
      <c r="C60" s="3"/>
    </row>
    <row r="61" customFormat="false" ht="15" hidden="false" customHeight="false" outlineLevel="0" collapsed="false">
      <c r="A61" s="26"/>
      <c r="B61" s="34"/>
      <c r="C61" s="3"/>
    </row>
    <row r="62" customFormat="false" ht="15" hidden="false" customHeight="false" outlineLevel="0" collapsed="false">
      <c r="A62" s="26"/>
      <c r="B62" s="34"/>
      <c r="C62" s="3"/>
    </row>
    <row r="63" customFormat="false" ht="15" hidden="false" customHeight="false" outlineLevel="0" collapsed="false">
      <c r="A63" s="26"/>
      <c r="B63" s="34"/>
      <c r="C63" s="3"/>
    </row>
    <row r="64" customFormat="false" ht="15" hidden="false" customHeight="false" outlineLevel="0" collapsed="false">
      <c r="A64" s="26"/>
      <c r="B64" s="34"/>
      <c r="C64" s="3"/>
    </row>
    <row r="65" customFormat="false" ht="15" hidden="false" customHeight="false" outlineLevel="0" collapsed="false">
      <c r="A65" s="26"/>
      <c r="B65" s="34"/>
      <c r="C65" s="3"/>
    </row>
    <row r="66" customFormat="false" ht="15" hidden="false" customHeight="false" outlineLevel="0" collapsed="false">
      <c r="A66" s="26"/>
      <c r="B66" s="34"/>
      <c r="C66" s="3"/>
    </row>
    <row r="67" customFormat="false" ht="15" hidden="false" customHeight="false" outlineLevel="0" collapsed="false">
      <c r="A67" s="26"/>
      <c r="B67" s="34"/>
      <c r="C67" s="3"/>
    </row>
    <row r="68" customFormat="false" ht="15" hidden="false" customHeight="false" outlineLevel="0" collapsed="false">
      <c r="A68" s="26"/>
      <c r="B68" s="34"/>
      <c r="C68" s="3"/>
    </row>
    <row r="69" customFormat="false" ht="15" hidden="false" customHeight="false" outlineLevel="0" collapsed="false">
      <c r="A69" s="26"/>
      <c r="B69" s="34"/>
      <c r="C69" s="3"/>
    </row>
    <row r="70" customFormat="false" ht="15" hidden="false" customHeight="false" outlineLevel="0" collapsed="false">
      <c r="A70" s="26"/>
      <c r="B70" s="34"/>
      <c r="C70" s="3"/>
    </row>
    <row r="71" customFormat="false" ht="15" hidden="false" customHeight="false" outlineLevel="0" collapsed="false">
      <c r="A71" s="26"/>
      <c r="B71" s="34"/>
      <c r="C71" s="3"/>
    </row>
    <row r="72" customFormat="false" ht="15" hidden="false" customHeight="false" outlineLevel="0" collapsed="false">
      <c r="A72" s="26"/>
      <c r="B72" s="34"/>
      <c r="C72" s="3"/>
    </row>
    <row r="73" customFormat="false" ht="15" hidden="false" customHeight="false" outlineLevel="0" collapsed="false">
      <c r="A73" s="26"/>
      <c r="B73" s="34"/>
      <c r="C73" s="3"/>
    </row>
    <row r="74" customFormat="false" ht="15" hidden="false" customHeight="false" outlineLevel="0" collapsed="false">
      <c r="A74" s="26"/>
      <c r="B74" s="34"/>
      <c r="C74" s="3"/>
    </row>
    <row r="75" customFormat="false" ht="15" hidden="false" customHeight="false" outlineLevel="0" collapsed="false">
      <c r="A75" s="26"/>
      <c r="B75" s="34"/>
      <c r="C75" s="3"/>
    </row>
    <row r="76" customFormat="false" ht="15" hidden="false" customHeight="false" outlineLevel="0" collapsed="false">
      <c r="A76" s="26"/>
      <c r="B76" s="34"/>
      <c r="C76" s="3"/>
    </row>
    <row r="77" customFormat="false" ht="15" hidden="false" customHeight="false" outlineLevel="0" collapsed="false">
      <c r="A77" s="26"/>
      <c r="B77" s="34"/>
      <c r="C77" s="3"/>
    </row>
    <row r="78" customFormat="false" ht="15" hidden="false" customHeight="false" outlineLevel="0" collapsed="false">
      <c r="A78" s="26"/>
      <c r="B78" s="34"/>
      <c r="C78" s="3"/>
    </row>
    <row r="79" customFormat="false" ht="15" hidden="false" customHeight="false" outlineLevel="0" collapsed="false">
      <c r="A79" s="26"/>
      <c r="B79" s="34"/>
      <c r="C79" s="3"/>
    </row>
    <row r="80" customFormat="false" ht="15" hidden="false" customHeight="false" outlineLevel="0" collapsed="false">
      <c r="A80" s="26"/>
      <c r="B80" s="34"/>
      <c r="C80" s="3"/>
    </row>
    <row r="81" customFormat="false" ht="15" hidden="false" customHeight="false" outlineLevel="0" collapsed="false">
      <c r="A81" s="26"/>
      <c r="B81" s="34"/>
      <c r="C81" s="3"/>
    </row>
    <row r="82" customFormat="false" ht="15" hidden="false" customHeight="false" outlineLevel="0" collapsed="false">
      <c r="A82" s="26"/>
      <c r="B82" s="34"/>
      <c r="C82" s="3"/>
    </row>
    <row r="83" customFormat="false" ht="15" hidden="false" customHeight="false" outlineLevel="0" collapsed="false">
      <c r="A83" s="26"/>
      <c r="B83" s="34"/>
      <c r="C83" s="3"/>
    </row>
    <row r="84" customFormat="false" ht="15" hidden="false" customHeight="false" outlineLevel="0" collapsed="false">
      <c r="A84" s="26"/>
      <c r="B84" s="34"/>
      <c r="C84" s="3"/>
    </row>
    <row r="85" customFormat="false" ht="15" hidden="false" customHeight="false" outlineLevel="0" collapsed="false">
      <c r="A85" s="26"/>
      <c r="B85" s="34"/>
      <c r="C85" s="3"/>
    </row>
    <row r="86" customFormat="false" ht="15" hidden="false" customHeight="false" outlineLevel="0" collapsed="false">
      <c r="A86" s="26"/>
      <c r="B86" s="34"/>
      <c r="C86" s="3"/>
    </row>
    <row r="87" customFormat="false" ht="15" hidden="false" customHeight="false" outlineLevel="0" collapsed="false">
      <c r="A87" s="26"/>
      <c r="B87" s="34"/>
      <c r="C87" s="3"/>
    </row>
    <row r="88" customFormat="false" ht="15" hidden="false" customHeight="false" outlineLevel="0" collapsed="false">
      <c r="A88" s="26"/>
      <c r="B88" s="34"/>
      <c r="C88" s="3"/>
    </row>
    <row r="89" customFormat="false" ht="15" hidden="false" customHeight="false" outlineLevel="0" collapsed="false">
      <c r="A89" s="26"/>
      <c r="B89" s="34"/>
      <c r="C89" s="3"/>
    </row>
    <row r="90" customFormat="false" ht="15" hidden="false" customHeight="false" outlineLevel="0" collapsed="false">
      <c r="A90" s="26"/>
      <c r="B90" s="34"/>
      <c r="C90" s="3"/>
    </row>
    <row r="91" customFormat="false" ht="15" hidden="false" customHeight="false" outlineLevel="0" collapsed="false">
      <c r="A91" s="26"/>
      <c r="B91" s="34"/>
      <c r="C91" s="3"/>
    </row>
    <row r="92" customFormat="false" ht="15" hidden="false" customHeight="false" outlineLevel="0" collapsed="false">
      <c r="A92" s="26"/>
      <c r="B92" s="34"/>
      <c r="C92" s="3"/>
    </row>
    <row r="93" customFormat="false" ht="15" hidden="false" customHeight="false" outlineLevel="0" collapsed="false">
      <c r="A93" s="26"/>
      <c r="B93" s="34"/>
      <c r="C93" s="3"/>
    </row>
    <row r="94" customFormat="false" ht="15" hidden="false" customHeight="false" outlineLevel="0" collapsed="false">
      <c r="A94" s="26"/>
      <c r="B94" s="34"/>
      <c r="C94" s="3"/>
    </row>
    <row r="95" customFormat="false" ht="15" hidden="false" customHeight="false" outlineLevel="0" collapsed="false">
      <c r="A95" s="26"/>
      <c r="B95" s="34"/>
      <c r="C95" s="3"/>
    </row>
    <row r="96" customFormat="false" ht="15" hidden="false" customHeight="false" outlineLevel="0" collapsed="false">
      <c r="A96" s="26"/>
      <c r="B96" s="34"/>
      <c r="C96" s="3"/>
    </row>
    <row r="97" customFormat="false" ht="15" hidden="false" customHeight="false" outlineLevel="0" collapsed="false">
      <c r="A97" s="26"/>
      <c r="B97" s="34"/>
      <c r="C97" s="3"/>
    </row>
    <row r="98" customFormat="false" ht="15" hidden="false" customHeight="false" outlineLevel="0" collapsed="false">
      <c r="A98" s="26"/>
      <c r="B98" s="34"/>
      <c r="C98" s="3"/>
    </row>
    <row r="99" customFormat="false" ht="15" hidden="false" customHeight="false" outlineLevel="0" collapsed="false">
      <c r="A99" s="26"/>
      <c r="B99" s="34"/>
      <c r="C99" s="3"/>
    </row>
    <row r="100" customFormat="false" ht="15" hidden="false" customHeight="false" outlineLevel="0" collapsed="false">
      <c r="A100" s="26"/>
      <c r="B100" s="34"/>
      <c r="C100" s="3"/>
    </row>
    <row r="101" customFormat="false" ht="15" hidden="false" customHeight="false" outlineLevel="0" collapsed="false">
      <c r="A101" s="26"/>
      <c r="B101" s="34"/>
      <c r="C101" s="3"/>
    </row>
    <row r="102" customFormat="false" ht="15" hidden="false" customHeight="false" outlineLevel="0" collapsed="false">
      <c r="A102" s="26"/>
      <c r="B102" s="34"/>
      <c r="C102" s="3"/>
    </row>
    <row r="103" customFormat="false" ht="15" hidden="false" customHeight="false" outlineLevel="0" collapsed="false">
      <c r="A103" s="26"/>
      <c r="B103" s="34"/>
      <c r="C103" s="3"/>
    </row>
    <row r="104" customFormat="false" ht="15" hidden="false" customHeight="false" outlineLevel="0" collapsed="false">
      <c r="A104" s="26"/>
      <c r="B104" s="34"/>
      <c r="C104" s="3"/>
    </row>
  </sheetData>
  <dataValidations count="1">
    <dataValidation allowBlank="true" error="Un index est compris entre +10 (noté -10 ici) et 54" errorStyle="stop" operator="between" showDropDown="false" showErrorMessage="false" showInputMessage="false" sqref="B5:B104" type="decimal">
      <formula1>-10</formula1>
      <formula2>54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2026-10-11T21:43:58Z</dcterms:created>
  <dc:creator>openpyxl</dc:creator>
  <dc:description/>
  <dc:language>en-US</dc:language>
  <cp:lastModifiedBy/>
  <dcterms:modified xsi:type="dcterms:W3CDTF">2026-10-11T21:44:12Z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